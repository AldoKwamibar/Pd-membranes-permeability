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Cu review\Material Informatics\Data editage\"/>
    </mc:Choice>
  </mc:AlternateContent>
  <xr:revisionPtr revIDLastSave="0" documentId="13_ncr:1_{60FCE9CD-92D5-4905-B387-DE08DC9E4BBE}" xr6:coauthVersionLast="47" xr6:coauthVersionMax="47" xr10:uidLastSave="{00000000-0000-0000-0000-000000000000}"/>
  <bookViews>
    <workbookView xWindow="-120" yWindow="-120" windowWidth="20730" windowHeight="11160" xr2:uid="{6E5EDDE7-299C-45B1-A33F-3D35E9E3DE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74" i="1" l="1"/>
  <c r="J475" i="1"/>
  <c r="G475" i="1"/>
  <c r="I475" i="1"/>
  <c r="G474" i="1"/>
  <c r="G395" i="1"/>
  <c r="I474" i="1"/>
  <c r="H475" i="1"/>
  <c r="H474" i="1"/>
  <c r="F475" i="1"/>
  <c r="E475" i="1"/>
  <c r="F474" i="1"/>
  <c r="F432" i="1"/>
  <c r="J432" i="1"/>
  <c r="L432" i="1"/>
  <c r="E432" i="1"/>
  <c r="E474" i="1"/>
  <c r="C255" i="1"/>
  <c r="D255" i="1"/>
  <c r="E255" i="1"/>
  <c r="C254" i="1"/>
  <c r="G255" i="1"/>
  <c r="H255" i="1"/>
  <c r="I470" i="1"/>
  <c r="H470" i="1"/>
  <c r="I406" i="1"/>
  <c r="G470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32" i="1"/>
  <c r="L320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51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I422" i="1"/>
  <c r="I421" i="1"/>
  <c r="G422" i="1"/>
  <c r="J422" i="1" s="1"/>
  <c r="G421" i="1"/>
  <c r="J421" i="1" s="1"/>
  <c r="E422" i="1"/>
  <c r="E421" i="1"/>
  <c r="O320" i="1"/>
  <c r="H414" i="1"/>
  <c r="I416" i="1"/>
  <c r="H416" i="1"/>
  <c r="H415" i="1"/>
  <c r="E414" i="1"/>
  <c r="G414" i="1" s="1"/>
  <c r="F415" i="1"/>
  <c r="F416" i="1"/>
  <c r="F414" i="1"/>
  <c r="E416" i="1"/>
  <c r="G416" i="1" s="1"/>
  <c r="E415" i="1"/>
  <c r="G415" i="1" s="1"/>
  <c r="I415" i="1"/>
  <c r="I414" i="1"/>
  <c r="I407" i="1"/>
  <c r="I408" i="1"/>
  <c r="H407" i="1"/>
  <c r="H408" i="1"/>
  <c r="H406" i="1"/>
  <c r="F407" i="1"/>
  <c r="F408" i="1"/>
  <c r="F406" i="1"/>
  <c r="E407" i="1"/>
  <c r="G407" i="1" s="1"/>
  <c r="J407" i="1" s="1"/>
  <c r="K407" i="1" s="1"/>
  <c r="E408" i="1"/>
  <c r="G408" i="1" s="1"/>
  <c r="E406" i="1"/>
  <c r="G406" i="1" s="1"/>
  <c r="J406" i="1" s="1"/>
  <c r="K406" i="1" s="1"/>
  <c r="F241" i="1"/>
  <c r="F379" i="1"/>
  <c r="E379" i="1"/>
  <c r="G379" i="1" s="1"/>
  <c r="E380" i="1"/>
  <c r="E381" i="1"/>
  <c r="E382" i="1"/>
  <c r="E383" i="1"/>
  <c r="E384" i="1"/>
  <c r="E385" i="1"/>
  <c r="E386" i="1"/>
  <c r="E387" i="1"/>
  <c r="E388" i="1"/>
  <c r="E389" i="1"/>
  <c r="E390" i="1"/>
  <c r="E391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401" i="1"/>
  <c r="I396" i="1"/>
  <c r="H401" i="1"/>
  <c r="F401" i="1"/>
  <c r="E401" i="1"/>
  <c r="G401" i="1" s="1"/>
  <c r="I395" i="1"/>
  <c r="H396" i="1"/>
  <c r="H395" i="1"/>
  <c r="F396" i="1"/>
  <c r="G396" i="1" s="1"/>
  <c r="F395" i="1"/>
  <c r="E396" i="1"/>
  <c r="E395" i="1"/>
  <c r="H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51" i="1"/>
  <c r="E352" i="1"/>
  <c r="G352" i="1" s="1"/>
  <c r="E353" i="1"/>
  <c r="G353" i="1" s="1"/>
  <c r="E354" i="1"/>
  <c r="G354" i="1" s="1"/>
  <c r="E355" i="1"/>
  <c r="G355" i="1" s="1"/>
  <c r="E356" i="1"/>
  <c r="G356" i="1" s="1"/>
  <c r="E357" i="1"/>
  <c r="G357" i="1" s="1"/>
  <c r="E358" i="1"/>
  <c r="G358" i="1" s="1"/>
  <c r="E359" i="1"/>
  <c r="G359" i="1" s="1"/>
  <c r="E360" i="1"/>
  <c r="G360" i="1" s="1"/>
  <c r="E361" i="1"/>
  <c r="G361" i="1" s="1"/>
  <c r="E362" i="1"/>
  <c r="G362" i="1" s="1"/>
  <c r="E363" i="1"/>
  <c r="G363" i="1" s="1"/>
  <c r="E364" i="1"/>
  <c r="G364" i="1" s="1"/>
  <c r="E365" i="1"/>
  <c r="G365" i="1" s="1"/>
  <c r="E366" i="1"/>
  <c r="G366" i="1" s="1"/>
  <c r="E367" i="1"/>
  <c r="G367" i="1" s="1"/>
  <c r="E368" i="1"/>
  <c r="G368" i="1" s="1"/>
  <c r="E369" i="1"/>
  <c r="G369" i="1" s="1"/>
  <c r="E370" i="1"/>
  <c r="G370" i="1" s="1"/>
  <c r="E371" i="1"/>
  <c r="G371" i="1" s="1"/>
  <c r="E372" i="1"/>
  <c r="G372" i="1" s="1"/>
  <c r="E373" i="1"/>
  <c r="G373" i="1" s="1"/>
  <c r="E374" i="1"/>
  <c r="G374" i="1" s="1"/>
  <c r="E375" i="1"/>
  <c r="G375" i="1" s="1"/>
  <c r="E376" i="1"/>
  <c r="G376" i="1" s="1"/>
  <c r="E377" i="1"/>
  <c r="G377" i="1" s="1"/>
  <c r="E378" i="1"/>
  <c r="G378" i="1" s="1"/>
  <c r="B351" i="1"/>
  <c r="E351" i="1" s="1"/>
  <c r="G351" i="1" s="1"/>
  <c r="B344" i="1"/>
  <c r="E344" i="1" s="1"/>
  <c r="C340" i="1"/>
  <c r="B340" i="1"/>
  <c r="E340" i="1" s="1"/>
  <c r="B332" i="1"/>
  <c r="F340" i="1"/>
  <c r="B326" i="1"/>
  <c r="C332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I359" i="1"/>
  <c r="I360" i="1"/>
  <c r="I361" i="1"/>
  <c r="I362" i="1"/>
  <c r="I363" i="1"/>
  <c r="H359" i="1"/>
  <c r="H360" i="1"/>
  <c r="H361" i="1"/>
  <c r="H362" i="1"/>
  <c r="H363" i="1"/>
  <c r="I355" i="1"/>
  <c r="I356" i="1"/>
  <c r="I357" i="1"/>
  <c r="I358" i="1"/>
  <c r="H355" i="1"/>
  <c r="J355" i="1" s="1"/>
  <c r="K355" i="1" s="1"/>
  <c r="H356" i="1"/>
  <c r="H357" i="1"/>
  <c r="J357" i="1" s="1"/>
  <c r="K357" i="1" s="1"/>
  <c r="H358" i="1"/>
  <c r="I354" i="1"/>
  <c r="H354" i="1"/>
  <c r="I352" i="1"/>
  <c r="I353" i="1"/>
  <c r="I351" i="1"/>
  <c r="M234" i="1"/>
  <c r="H352" i="1"/>
  <c r="H353" i="1"/>
  <c r="G344" i="1"/>
  <c r="G341" i="1"/>
  <c r="G342" i="1"/>
  <c r="G343" i="1"/>
  <c r="G340" i="1"/>
  <c r="F344" i="1"/>
  <c r="F341" i="1"/>
  <c r="F342" i="1"/>
  <c r="F343" i="1"/>
  <c r="C341" i="1"/>
  <c r="C342" i="1"/>
  <c r="C343" i="1"/>
  <c r="C344" i="1"/>
  <c r="B341" i="1"/>
  <c r="E341" i="1" s="1"/>
  <c r="B342" i="1"/>
  <c r="E342" i="1" s="1"/>
  <c r="B343" i="1"/>
  <c r="E343" i="1" s="1"/>
  <c r="D336" i="1"/>
  <c r="D335" i="1"/>
  <c r="D334" i="1"/>
  <c r="D333" i="1"/>
  <c r="C336" i="1"/>
  <c r="B336" i="1"/>
  <c r="C335" i="1"/>
  <c r="B335" i="1"/>
  <c r="C334" i="1"/>
  <c r="B334" i="1"/>
  <c r="C333" i="1"/>
  <c r="B333" i="1"/>
  <c r="D332" i="1"/>
  <c r="G333" i="1"/>
  <c r="G334" i="1"/>
  <c r="G335" i="1"/>
  <c r="G336" i="1"/>
  <c r="G332" i="1"/>
  <c r="F333" i="1"/>
  <c r="F334" i="1"/>
  <c r="F335" i="1"/>
  <c r="F336" i="1"/>
  <c r="F332" i="1"/>
  <c r="E326" i="1"/>
  <c r="E327" i="1"/>
  <c r="D327" i="1"/>
  <c r="C327" i="1"/>
  <c r="B327" i="1"/>
  <c r="D326" i="1"/>
  <c r="C326" i="1"/>
  <c r="I327" i="1"/>
  <c r="H327" i="1"/>
  <c r="G327" i="1"/>
  <c r="I326" i="1"/>
  <c r="H326" i="1"/>
  <c r="G326" i="1"/>
  <c r="H320" i="1"/>
  <c r="G320" i="1"/>
  <c r="F320" i="1"/>
  <c r="E320" i="1"/>
  <c r="D320" i="1"/>
  <c r="C320" i="1"/>
  <c r="B320" i="1"/>
  <c r="N320" i="1"/>
  <c r="M320" i="1"/>
  <c r="K320" i="1"/>
  <c r="J320" i="1"/>
  <c r="B314" i="1"/>
  <c r="C314" i="1"/>
  <c r="D314" i="1"/>
  <c r="E314" i="1"/>
  <c r="I314" i="1"/>
  <c r="H314" i="1"/>
  <c r="G314" i="1"/>
  <c r="G249" i="1"/>
  <c r="G308" i="1"/>
  <c r="D308" i="1"/>
  <c r="C308" i="1"/>
  <c r="B308" i="1"/>
  <c r="G302" i="1"/>
  <c r="F308" i="1"/>
  <c r="D303" i="1"/>
  <c r="C303" i="1"/>
  <c r="B302" i="1"/>
  <c r="B303" i="1"/>
  <c r="D302" i="1"/>
  <c r="C302" i="1"/>
  <c r="F302" i="1"/>
  <c r="F303" i="1"/>
  <c r="G303" i="1"/>
  <c r="G298" i="1"/>
  <c r="D298" i="1"/>
  <c r="C298" i="1"/>
  <c r="B298" i="1"/>
  <c r="F298" i="1"/>
  <c r="G292" i="1"/>
  <c r="F292" i="1"/>
  <c r="D292" i="1"/>
  <c r="C292" i="1"/>
  <c r="B292" i="1"/>
  <c r="E287" i="1"/>
  <c r="I287" i="1"/>
  <c r="I269" i="1"/>
  <c r="H287" i="1"/>
  <c r="G287" i="1"/>
  <c r="D287" i="1"/>
  <c r="C287" i="1"/>
  <c r="B287" i="1"/>
  <c r="D283" i="1"/>
  <c r="C283" i="1"/>
  <c r="B283" i="1"/>
  <c r="G283" i="1"/>
  <c r="K234" i="1"/>
  <c r="F283" i="1"/>
  <c r="E269" i="1"/>
  <c r="D269" i="1"/>
  <c r="C269" i="1"/>
  <c r="B269" i="1"/>
  <c r="H269" i="1"/>
  <c r="G269" i="1"/>
  <c r="D264" i="1"/>
  <c r="C264" i="1"/>
  <c r="B264" i="1"/>
  <c r="D262" i="1"/>
  <c r="C262" i="1"/>
  <c r="B262" i="1"/>
  <c r="D263" i="1"/>
  <c r="C263" i="1"/>
  <c r="B263" i="1"/>
  <c r="G262" i="1"/>
  <c r="G263" i="1"/>
  <c r="G264" i="1"/>
  <c r="F262" i="1"/>
  <c r="F263" i="1"/>
  <c r="F264" i="1"/>
  <c r="G261" i="1"/>
  <c r="F261" i="1"/>
  <c r="D261" i="1"/>
  <c r="C261" i="1"/>
  <c r="B261" i="1"/>
  <c r="E251" i="1"/>
  <c r="H249" i="1"/>
  <c r="E249" i="1"/>
  <c r="E254" i="1"/>
  <c r="E253" i="1"/>
  <c r="E252" i="1"/>
  <c r="E250" i="1"/>
  <c r="D254" i="1"/>
  <c r="D253" i="1"/>
  <c r="D252" i="1"/>
  <c r="D251" i="1"/>
  <c r="D250" i="1"/>
  <c r="C253" i="1"/>
  <c r="C252" i="1"/>
  <c r="C251" i="1"/>
  <c r="D249" i="1"/>
  <c r="C249" i="1"/>
  <c r="C250" i="1"/>
  <c r="G251" i="1"/>
  <c r="G252" i="1"/>
  <c r="G253" i="1"/>
  <c r="G254" i="1"/>
  <c r="H251" i="1"/>
  <c r="H252" i="1"/>
  <c r="H253" i="1"/>
  <c r="H254" i="1"/>
  <c r="H250" i="1"/>
  <c r="G241" i="1"/>
  <c r="G250" i="1"/>
  <c r="D241" i="1"/>
  <c r="C241" i="1"/>
  <c r="B241" i="1"/>
  <c r="G234" i="1"/>
  <c r="F234" i="1"/>
  <c r="E234" i="1"/>
  <c r="D234" i="1"/>
  <c r="C234" i="1"/>
  <c r="B234" i="1"/>
  <c r="L234" i="1"/>
  <c r="J234" i="1"/>
  <c r="I234" i="1"/>
  <c r="H229" i="1"/>
  <c r="G229" i="1"/>
  <c r="F229" i="1"/>
  <c r="E229" i="1"/>
  <c r="D229" i="1"/>
  <c r="C229" i="1"/>
  <c r="B229" i="1"/>
  <c r="O229" i="1"/>
  <c r="N229" i="1"/>
  <c r="M229" i="1"/>
  <c r="L229" i="1"/>
  <c r="J229" i="1"/>
  <c r="K229" i="1"/>
  <c r="E221" i="1"/>
  <c r="F221" i="1" s="1"/>
  <c r="E220" i="1"/>
  <c r="F220" i="1" s="1"/>
  <c r="A195" i="1"/>
  <c r="A194" i="1"/>
  <c r="A193" i="1"/>
  <c r="A192" i="1"/>
  <c r="B184" i="1"/>
  <c r="B183" i="1"/>
  <c r="B182" i="1"/>
  <c r="B181" i="1"/>
  <c r="B180" i="1"/>
  <c r="B179" i="1"/>
  <c r="B178" i="1"/>
  <c r="B177" i="1"/>
  <c r="B176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83" i="1"/>
  <c r="B79" i="1"/>
  <c r="A79" i="1"/>
  <c r="B78" i="1"/>
  <c r="A78" i="1"/>
  <c r="B77" i="1"/>
  <c r="A77" i="1"/>
  <c r="B76" i="1"/>
  <c r="B75" i="1"/>
  <c r="B74" i="1"/>
  <c r="B73" i="1"/>
  <c r="B72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21" i="1"/>
  <c r="B22" i="1"/>
  <c r="B23" i="1"/>
  <c r="B24" i="1"/>
  <c r="B3" i="1"/>
  <c r="B20" i="1"/>
  <c r="B19" i="1"/>
  <c r="B18" i="1"/>
  <c r="B17" i="1"/>
  <c r="A3" i="1"/>
  <c r="A24" i="1"/>
  <c r="A23" i="1"/>
  <c r="A22" i="1"/>
  <c r="A21" i="1"/>
  <c r="A20" i="1"/>
  <c r="A19" i="1"/>
  <c r="A18" i="1"/>
  <c r="A17" i="1"/>
  <c r="B11" i="1"/>
  <c r="B10" i="1"/>
  <c r="B9" i="1"/>
  <c r="B8" i="1"/>
  <c r="B7" i="1"/>
  <c r="B6" i="1"/>
  <c r="B5" i="1"/>
  <c r="B4" i="1"/>
  <c r="A11" i="1"/>
  <c r="A10" i="1"/>
  <c r="A9" i="1"/>
  <c r="A8" i="1"/>
  <c r="A7" i="1"/>
  <c r="A6" i="1"/>
  <c r="A5" i="1"/>
  <c r="F465" i="1" l="1"/>
  <c r="F463" i="1"/>
  <c r="F461" i="1"/>
  <c r="F459" i="1"/>
  <c r="F457" i="1"/>
  <c r="F455" i="1"/>
  <c r="F453" i="1"/>
  <c r="J470" i="1"/>
  <c r="I255" i="1"/>
  <c r="J326" i="1"/>
  <c r="F451" i="1"/>
  <c r="F464" i="1"/>
  <c r="F462" i="1"/>
  <c r="F460" i="1"/>
  <c r="F458" i="1"/>
  <c r="F456" i="1"/>
  <c r="F454" i="1"/>
  <c r="F452" i="1"/>
  <c r="J414" i="1"/>
  <c r="J391" i="1"/>
  <c r="K391" i="1" s="1"/>
  <c r="J416" i="1"/>
  <c r="J408" i="1"/>
  <c r="K408" i="1" s="1"/>
  <c r="J415" i="1"/>
  <c r="J389" i="1"/>
  <c r="K389" i="1" s="1"/>
  <c r="J387" i="1"/>
  <c r="K387" i="1" s="1"/>
  <c r="J381" i="1"/>
  <c r="K381" i="1" s="1"/>
  <c r="J379" i="1"/>
  <c r="K379" i="1" s="1"/>
  <c r="J401" i="1"/>
  <c r="K401" i="1" s="1"/>
  <c r="J390" i="1"/>
  <c r="K390" i="1" s="1"/>
  <c r="J388" i="1"/>
  <c r="K388" i="1" s="1"/>
  <c r="J386" i="1"/>
  <c r="K386" i="1" s="1"/>
  <c r="J385" i="1"/>
  <c r="K385" i="1" s="1"/>
  <c r="J384" i="1"/>
  <c r="K384" i="1" s="1"/>
  <c r="J383" i="1"/>
  <c r="K383" i="1" s="1"/>
  <c r="J382" i="1"/>
  <c r="K382" i="1" s="1"/>
  <c r="J380" i="1"/>
  <c r="K380" i="1" s="1"/>
  <c r="J358" i="1"/>
  <c r="K358" i="1" s="1"/>
  <c r="H302" i="1"/>
  <c r="J377" i="1"/>
  <c r="K377" i="1" s="1"/>
  <c r="J375" i="1"/>
  <c r="K375" i="1" s="1"/>
  <c r="J373" i="1"/>
  <c r="K373" i="1" s="1"/>
  <c r="J371" i="1"/>
  <c r="K371" i="1" s="1"/>
  <c r="J369" i="1"/>
  <c r="K369" i="1" s="1"/>
  <c r="J367" i="1"/>
  <c r="K367" i="1" s="1"/>
  <c r="J365" i="1"/>
  <c r="K365" i="1" s="1"/>
  <c r="J396" i="1"/>
  <c r="J362" i="1"/>
  <c r="K362" i="1" s="1"/>
  <c r="J376" i="1"/>
  <c r="K376" i="1" s="1"/>
  <c r="J372" i="1"/>
  <c r="K372" i="1" s="1"/>
  <c r="J368" i="1"/>
  <c r="K368" i="1" s="1"/>
  <c r="J364" i="1"/>
  <c r="K364" i="1" s="1"/>
  <c r="J356" i="1"/>
  <c r="K356" i="1" s="1"/>
  <c r="J352" i="1"/>
  <c r="K352" i="1" s="1"/>
  <c r="J360" i="1"/>
  <c r="K360" i="1" s="1"/>
  <c r="J374" i="1"/>
  <c r="K374" i="1" s="1"/>
  <c r="J370" i="1"/>
  <c r="K370" i="1" s="1"/>
  <c r="J366" i="1"/>
  <c r="K366" i="1" s="1"/>
  <c r="J354" i="1"/>
  <c r="K354" i="1" s="1"/>
  <c r="J378" i="1"/>
  <c r="K378" i="1" s="1"/>
  <c r="J395" i="1"/>
  <c r="J351" i="1"/>
  <c r="K351" i="1" s="1"/>
  <c r="J353" i="1"/>
  <c r="K353" i="1" s="1"/>
  <c r="J363" i="1"/>
  <c r="K363" i="1" s="1"/>
  <c r="J361" i="1"/>
  <c r="K361" i="1" s="1"/>
  <c r="J359" i="1"/>
  <c r="K359" i="1" s="1"/>
  <c r="H308" i="1"/>
  <c r="P320" i="1"/>
  <c r="H298" i="1"/>
  <c r="H303" i="1"/>
  <c r="J327" i="1"/>
  <c r="H334" i="1"/>
  <c r="H336" i="1"/>
  <c r="H283" i="1"/>
  <c r="H292" i="1"/>
  <c r="J314" i="1"/>
  <c r="H332" i="1"/>
  <c r="H333" i="1"/>
  <c r="H335" i="1"/>
  <c r="H340" i="1"/>
  <c r="I340" i="1" s="1"/>
  <c r="H342" i="1"/>
  <c r="I342" i="1" s="1"/>
  <c r="H344" i="1"/>
  <c r="I344" i="1" s="1"/>
  <c r="H343" i="1"/>
  <c r="I343" i="1" s="1"/>
  <c r="H341" i="1"/>
  <c r="I341" i="1" s="1"/>
  <c r="J287" i="1"/>
  <c r="J269" i="1"/>
  <c r="I250" i="1"/>
  <c r="H261" i="1"/>
  <c r="H262" i="1"/>
  <c r="H263" i="1"/>
  <c r="H264" i="1"/>
  <c r="I252" i="1"/>
  <c r="I254" i="1"/>
  <c r="P229" i="1"/>
  <c r="N234" i="1"/>
  <c r="H241" i="1"/>
  <c r="I249" i="1"/>
  <c r="I251" i="1"/>
  <c r="I253" i="1"/>
  <c r="F466" i="1" l="1"/>
  <c r="J433" i="1"/>
  <c r="L433" i="1" s="1"/>
  <c r="J445" i="1"/>
  <c r="L445" i="1" s="1"/>
  <c r="J441" i="1"/>
  <c r="L441" i="1" s="1"/>
  <c r="J437" i="1"/>
  <c r="L437" i="1" s="1"/>
  <c r="J442" i="1"/>
  <c r="L442" i="1" s="1"/>
  <c r="J438" i="1"/>
  <c r="L438" i="1" s="1"/>
  <c r="J434" i="1"/>
  <c r="L434" i="1" s="1"/>
  <c r="J443" i="1"/>
  <c r="L443" i="1" s="1"/>
  <c r="J439" i="1"/>
  <c r="L439" i="1" s="1"/>
  <c r="J435" i="1"/>
  <c r="L435" i="1" s="1"/>
  <c r="J444" i="1"/>
  <c r="L444" i="1" s="1"/>
  <c r="J440" i="1"/>
  <c r="L440" i="1" s="1"/>
  <c r="J436" i="1"/>
  <c r="L436" i="1" s="1"/>
</calcChain>
</file>

<file path=xl/sharedStrings.xml><?xml version="1.0" encoding="utf-8"?>
<sst xmlns="http://schemas.openxmlformats.org/spreadsheetml/2006/main" count="821" uniqueCount="337">
  <si>
    <t>Atomic concentration of Fe (at.%)</t>
  </si>
  <si>
    <t>Lattice parameter</t>
  </si>
  <si>
    <t>Lattice parameter (nm)</t>
  </si>
  <si>
    <t>Lattice parameter of fcc PdFe dilute solid solution</t>
  </si>
  <si>
    <t>Reference</t>
  </si>
  <si>
    <t>(Biehl &amp; Flanagan, 1978)</t>
  </si>
  <si>
    <t>doi</t>
  </si>
  <si>
    <t>(Sakamoto et al., 1982)</t>
  </si>
  <si>
    <t>Atomic concentration of Pt (at.%)</t>
  </si>
  <si>
    <t>https://pubs.acs.org/doi/pdf/10.1021/j100788a024?casa_token=lIUV1BS13EIAAAAA:fzARNlPrXhhAtQvC834gXndxaaZwarjyiZA5ew_-LD_8Cplh7-MbYq-GhvjE26xXKbsU4IAIPYLSW9JUSw</t>
  </si>
  <si>
    <t>(Maeland &amp; Flanagan, 1963)</t>
  </si>
  <si>
    <t>Pearson Handbook, pp650</t>
  </si>
  <si>
    <t>Lattice parameter of fcc PdPt dilute solid solution</t>
  </si>
  <si>
    <t>https://doi.org/10.1016/S0925-8388(01)01202-6</t>
  </si>
  <si>
    <t>(Moysan et al., 2001)</t>
  </si>
  <si>
    <t>https://doi.org/10.1016/S0925-8388(01)01202-7</t>
  </si>
  <si>
    <t>https://doi.org/10.1016/S0925-8388(01)01202-8</t>
  </si>
  <si>
    <t>https://doi.org/10.1016/S0925-8388(01)01202-9</t>
  </si>
  <si>
    <t>https://doi.org/10.1016/S0925-8388(01)01202-10</t>
  </si>
  <si>
    <t>https://doi.org/10.1016/S0925-8388(01)01202-11</t>
  </si>
  <si>
    <t>https://doi.org/10.1016/S0925-8388(01)01202-12</t>
  </si>
  <si>
    <t>https://doi.org/10.1016/S0925-8388(01)01202-13</t>
  </si>
  <si>
    <t>Atomic concentration of Ru (at.%)</t>
  </si>
  <si>
    <t>https://doi.org/10.1524/zpch.1988.158.Part_2.223</t>
  </si>
  <si>
    <t>https://doi.org/10.1103/PhysRevB.95.024116</t>
  </si>
  <si>
    <t>(Sakamoto et al., 1988)</t>
  </si>
  <si>
    <t>(Fujii et al., 2017)</t>
  </si>
  <si>
    <t>https://doi.org/10.1016/0022-3115(89)90424-8</t>
  </si>
  <si>
    <t>(H. Kleykamp, 1989)</t>
  </si>
  <si>
    <t>Palladium content (at.%) Pd</t>
  </si>
  <si>
    <t>Nickel content (at.%)</t>
  </si>
  <si>
    <r>
      <t>Lattice of fcc PdNi (nm</t>
    </r>
    <r>
      <rPr>
        <sz val="9.25"/>
        <color theme="1"/>
        <rFont val="Calibri"/>
        <family val="2"/>
      </rPr>
      <t>)</t>
    </r>
  </si>
  <si>
    <t>Pearson Handbook, pp 782</t>
  </si>
  <si>
    <t>https://doi.org/10.1524/zpch.1989.162.Part_1.083</t>
  </si>
  <si>
    <t>Rhodium content (at.%)</t>
  </si>
  <si>
    <t xml:space="preserve">Reference </t>
  </si>
  <si>
    <t>Bore content (at.%)</t>
  </si>
  <si>
    <t>Lu content (at.%)</t>
  </si>
  <si>
    <t>(Sakamoto et al., 1990)</t>
  </si>
  <si>
    <t>https://doi.org/10.1016/0022-5088(90)90147-C</t>
  </si>
  <si>
    <t>Sm content (at.%)</t>
  </si>
  <si>
    <t>(Sakamoto et al., 1989)</t>
  </si>
  <si>
    <t>https://doi.org/10.1016/0022-5088(89)90077-5</t>
  </si>
  <si>
    <t>Ti content (at.%)</t>
  </si>
  <si>
    <t>Gd content (at.%)</t>
  </si>
  <si>
    <t xml:space="preserve"> https://doi.org/10.1002/bbpc.19900940218</t>
  </si>
  <si>
    <t>Ce content (at.%)</t>
  </si>
  <si>
    <t>(Harris &amp; Norman, 1968)</t>
  </si>
  <si>
    <t>https://doi.org/10.1016/0022-5088(68)90187-2</t>
  </si>
  <si>
    <t>Al content (at.%)</t>
  </si>
  <si>
    <t>(Sakamoto et al., 1993)</t>
  </si>
  <si>
    <t>https://doi.org/10.1524/zpch.1993.179.Part_1_2.069</t>
  </si>
  <si>
    <t>Ho content (at.%)</t>
  </si>
  <si>
    <t>(Chen et al., 1989)</t>
  </si>
  <si>
    <t>https://doi.org/10.1016/0022-5088(89)90226-9</t>
  </si>
  <si>
    <t>Pb content (at.%)</t>
  </si>
  <si>
    <t>(Chen et al., 1994)</t>
  </si>
  <si>
    <t>https://doi.org/10.1016/0925-8388(94)90776-5</t>
  </si>
  <si>
    <t>Alloy</t>
  </si>
  <si>
    <t>Al</t>
  </si>
  <si>
    <t>Pd</t>
  </si>
  <si>
    <t>Ag</t>
  </si>
  <si>
    <r>
      <rPr>
        <i/>
        <sz val="20"/>
        <color theme="1"/>
        <rFont val="Yu Gothic"/>
        <family val="2"/>
      </rPr>
      <t>x</t>
    </r>
    <r>
      <rPr>
        <vertAlign val="subscript"/>
        <sz val="11"/>
        <color theme="1"/>
        <rFont val="Calibri"/>
        <family val="2"/>
        <scheme val="minor"/>
      </rPr>
      <t>Pd0.77Ag0.23</t>
    </r>
  </si>
  <si>
    <r>
      <rPr>
        <i/>
        <sz val="20"/>
        <color theme="1"/>
        <rFont val="Yu Gothic"/>
        <family val="2"/>
      </rPr>
      <t>X</t>
    </r>
    <r>
      <rPr>
        <vertAlign val="subscript"/>
        <sz val="11"/>
        <color theme="1"/>
        <rFont val="Calibri"/>
        <family val="2"/>
        <scheme val="minor"/>
      </rPr>
      <t>Al</t>
    </r>
  </si>
  <si>
    <r>
      <rPr>
        <i/>
        <sz val="20"/>
        <color theme="1"/>
        <rFont val="Yu Gothic"/>
        <family val="2"/>
      </rPr>
      <t>a</t>
    </r>
    <r>
      <rPr>
        <vertAlign val="subscript"/>
        <sz val="11"/>
        <color theme="1"/>
        <rFont val="Calibri"/>
        <family val="2"/>
        <scheme val="minor"/>
      </rPr>
      <t>Pd0.77Ag0.23</t>
    </r>
  </si>
  <si>
    <r>
      <rPr>
        <i/>
        <sz val="20"/>
        <color theme="1"/>
        <rFont val="Yu Gothic"/>
        <family val="2"/>
      </rPr>
      <t>a</t>
    </r>
    <r>
      <rPr>
        <vertAlign val="subscript"/>
        <sz val="11"/>
        <color theme="1"/>
        <rFont val="Calibri"/>
        <family val="2"/>
        <scheme val="minor"/>
      </rPr>
      <t>Al</t>
    </r>
    <r>
      <rPr>
        <sz val="11"/>
        <color theme="1"/>
        <rFont val="Calibri"/>
        <family val="2"/>
        <scheme val="minor"/>
      </rPr>
      <t>(nm)</t>
    </r>
  </si>
  <si>
    <t>Lattice of alloy (nm)</t>
  </si>
  <si>
    <r>
      <t>Pd73.92Ag22.08Al4.0 [(Pd0.77Ag0.23)</t>
    </r>
    <r>
      <rPr>
        <b/>
        <vertAlign val="subscript"/>
        <sz val="11"/>
        <color rgb="FFFF0000"/>
        <rFont val="Calibri"/>
        <family val="2"/>
        <scheme val="minor"/>
      </rPr>
      <t>0.96</t>
    </r>
    <r>
      <rPr>
        <b/>
        <sz val="11"/>
        <color rgb="FFFF0000"/>
        <rFont val="Calibri"/>
        <family val="2"/>
        <scheme val="minor"/>
      </rPr>
      <t>A</t>
    </r>
    <r>
      <rPr>
        <b/>
        <vertAlign val="subscript"/>
        <sz val="11"/>
        <color rgb="FFFF0000"/>
        <rFont val="Calibri"/>
        <family val="2"/>
        <scheme val="minor"/>
      </rPr>
      <t>l0.04</t>
    </r>
    <r>
      <rPr>
        <b/>
        <sz val="11"/>
        <color rgb="FFFF0000"/>
        <rFont val="Calibri"/>
        <family val="2"/>
        <scheme val="minor"/>
      </rPr>
      <t>]</t>
    </r>
  </si>
  <si>
    <t>Pd75.46Ag22.54Al2.0 [(Pd0.77Ag0.23)0.98Al0.02]</t>
  </si>
  <si>
    <t>Pd74.68Y1.0Pt0.5Ru1.03Au2.53Al0.26Ag20.0</t>
  </si>
  <si>
    <t>(Flanagan et al., 2018)</t>
  </si>
  <si>
    <t>https://doi.org/10.1016/j.jallcom.2018.07.007</t>
  </si>
  <si>
    <t>XPt</t>
  </si>
  <si>
    <t>XRu</t>
  </si>
  <si>
    <t>XAg</t>
  </si>
  <si>
    <t>XAu</t>
  </si>
  <si>
    <r>
      <t>x</t>
    </r>
    <r>
      <rPr>
        <b/>
        <i/>
        <vertAlign val="subscript"/>
        <sz val="12"/>
        <color theme="0"/>
        <rFont val="Yu Gothic"/>
        <family val="2"/>
      </rPr>
      <t>Pd</t>
    </r>
  </si>
  <si>
    <r>
      <t>x</t>
    </r>
    <r>
      <rPr>
        <b/>
        <i/>
        <vertAlign val="subscript"/>
        <sz val="12"/>
        <color theme="0"/>
        <rFont val="Yu Gothic"/>
        <family val="2"/>
      </rPr>
      <t>Y</t>
    </r>
  </si>
  <si>
    <r>
      <t>X</t>
    </r>
    <r>
      <rPr>
        <b/>
        <i/>
        <vertAlign val="subscript"/>
        <sz val="12"/>
        <color theme="0"/>
        <rFont val="Yu Gothic"/>
        <family val="2"/>
      </rPr>
      <t>Au</t>
    </r>
  </si>
  <si>
    <r>
      <t>X</t>
    </r>
    <r>
      <rPr>
        <b/>
        <i/>
        <vertAlign val="subscript"/>
        <sz val="12"/>
        <color theme="0"/>
        <rFont val="Yu Gothic"/>
        <family val="2"/>
      </rPr>
      <t>Al</t>
    </r>
  </si>
  <si>
    <r>
      <t>X</t>
    </r>
    <r>
      <rPr>
        <b/>
        <i/>
        <vertAlign val="subscript"/>
        <sz val="12"/>
        <color theme="0"/>
        <rFont val="Yu Gothic"/>
        <family val="2"/>
      </rPr>
      <t>Ag</t>
    </r>
  </si>
  <si>
    <r>
      <t>X</t>
    </r>
    <r>
      <rPr>
        <b/>
        <i/>
        <vertAlign val="subscript"/>
        <sz val="12"/>
        <color theme="0"/>
        <rFont val="Yu Gothic"/>
        <family val="2"/>
      </rPr>
      <t>Pt</t>
    </r>
  </si>
  <si>
    <r>
      <t>X</t>
    </r>
    <r>
      <rPr>
        <b/>
        <i/>
        <vertAlign val="subscript"/>
        <sz val="12"/>
        <color theme="0"/>
        <rFont val="Yu Gothic"/>
        <family val="2"/>
      </rPr>
      <t>Ru</t>
    </r>
  </si>
  <si>
    <r>
      <t>a</t>
    </r>
    <r>
      <rPr>
        <b/>
        <i/>
        <vertAlign val="subscript"/>
        <sz val="12"/>
        <color theme="0"/>
        <rFont val="Yu Gothic"/>
        <family val="2"/>
      </rPr>
      <t>Pd</t>
    </r>
  </si>
  <si>
    <r>
      <t>a</t>
    </r>
    <r>
      <rPr>
        <b/>
        <i/>
        <vertAlign val="subscript"/>
        <sz val="12"/>
        <color theme="0"/>
        <rFont val="Yu Gothic"/>
        <family val="2"/>
      </rPr>
      <t>Y</t>
    </r>
  </si>
  <si>
    <r>
      <t>a</t>
    </r>
    <r>
      <rPr>
        <b/>
        <i/>
        <vertAlign val="subscript"/>
        <sz val="12"/>
        <color theme="0"/>
        <rFont val="Yu Gothic"/>
        <family val="2"/>
      </rPr>
      <t>Pt</t>
    </r>
  </si>
  <si>
    <r>
      <t>a</t>
    </r>
    <r>
      <rPr>
        <b/>
        <i/>
        <vertAlign val="subscript"/>
        <sz val="12"/>
        <color theme="0"/>
        <rFont val="Yu Gothic"/>
        <family val="2"/>
      </rPr>
      <t>Ru</t>
    </r>
  </si>
  <si>
    <r>
      <t>a</t>
    </r>
    <r>
      <rPr>
        <b/>
        <i/>
        <vertAlign val="subscript"/>
        <sz val="12"/>
        <color theme="0"/>
        <rFont val="Yu Gothic"/>
        <family val="2"/>
      </rPr>
      <t>Au</t>
    </r>
  </si>
  <si>
    <r>
      <t>a</t>
    </r>
    <r>
      <rPr>
        <b/>
        <i/>
        <vertAlign val="subscript"/>
        <sz val="12"/>
        <color theme="0"/>
        <rFont val="Yu Gothic"/>
        <family val="2"/>
      </rPr>
      <t>Al</t>
    </r>
  </si>
  <si>
    <r>
      <t>a</t>
    </r>
    <r>
      <rPr>
        <b/>
        <i/>
        <vertAlign val="subscript"/>
        <sz val="12"/>
        <color theme="0"/>
        <rFont val="Yu Gothic"/>
        <family val="2"/>
      </rPr>
      <t>Ag</t>
    </r>
  </si>
  <si>
    <t>aalloy(nm)</t>
  </si>
  <si>
    <t>alloy</t>
  </si>
  <si>
    <t>Au</t>
  </si>
  <si>
    <t>Pt</t>
  </si>
  <si>
    <t>Ru</t>
  </si>
  <si>
    <t>aAlloy(nm)</t>
  </si>
  <si>
    <t>Pd81.42Ag14.9Au1.36Pt0.38Ru0.74Al1.19</t>
  </si>
  <si>
    <t>(Gorbunov at al., 2017)</t>
  </si>
  <si>
    <t>https://doi.org/10.1134/S0036029517010050</t>
  </si>
  <si>
    <t>In</t>
  </si>
  <si>
    <t>Pd93.89In5.58Ru0.53</t>
  </si>
  <si>
    <t>Column4</t>
  </si>
  <si>
    <t>aAlloy (nm)</t>
  </si>
  <si>
    <r>
      <t>a</t>
    </r>
    <r>
      <rPr>
        <b/>
        <vertAlign val="subscript"/>
        <sz val="11"/>
        <color theme="0"/>
        <rFont val="Calibri"/>
        <family val="2"/>
        <scheme val="minor"/>
      </rPr>
      <t>In,fcc</t>
    </r>
  </si>
  <si>
    <r>
      <t>a</t>
    </r>
    <r>
      <rPr>
        <b/>
        <vertAlign val="subscript"/>
        <sz val="11"/>
        <color theme="0"/>
        <rFont val="Calibri"/>
        <family val="2"/>
        <scheme val="minor"/>
      </rPr>
      <t>Ru</t>
    </r>
  </si>
  <si>
    <r>
      <t>a</t>
    </r>
    <r>
      <rPr>
        <b/>
        <vertAlign val="subscript"/>
        <sz val="11"/>
        <color theme="0"/>
        <rFont val="Calibri"/>
        <family val="2"/>
        <scheme val="minor"/>
      </rPr>
      <t>Ru</t>
    </r>
    <r>
      <rPr>
        <b/>
        <sz val="11"/>
        <color theme="0"/>
        <rFont val="Calibri"/>
        <family val="2"/>
        <scheme val="minor"/>
      </rPr>
      <t>,</t>
    </r>
    <r>
      <rPr>
        <b/>
        <vertAlign val="subscript"/>
        <sz val="11"/>
        <color theme="0"/>
        <rFont val="Calibri"/>
        <family val="2"/>
        <scheme val="minor"/>
      </rPr>
      <t>fcc</t>
    </r>
  </si>
  <si>
    <r>
      <t>a</t>
    </r>
    <r>
      <rPr>
        <b/>
        <vertAlign val="subscript"/>
        <sz val="11"/>
        <color theme="0"/>
        <rFont val="Calibri"/>
        <family val="2"/>
        <scheme val="minor"/>
      </rPr>
      <t>Pd</t>
    </r>
  </si>
  <si>
    <t>(Didenko et al., 2003)</t>
  </si>
  <si>
    <t>https://doi.org/10.1007/s11172-016-1543-4</t>
  </si>
  <si>
    <t>Pd83.0Cu10.0Au7.0</t>
  </si>
  <si>
    <t>Pd55.0Cu41.0Au4.0</t>
  </si>
  <si>
    <t>Pd72.0Cu26.0Au2.0</t>
  </si>
  <si>
    <t>Pd74.7Cu19.6Au5.7</t>
  </si>
  <si>
    <t>Pd72.0Cu20.0Au8.0</t>
  </si>
  <si>
    <t>Pd56.0Cu41.0Au3.0</t>
  </si>
  <si>
    <t>ALLOYS</t>
  </si>
  <si>
    <t>Cu</t>
  </si>
  <si>
    <r>
      <t>a</t>
    </r>
    <r>
      <rPr>
        <vertAlign val="subscript"/>
        <sz val="11"/>
        <color theme="1"/>
        <rFont val="Calibri"/>
        <family val="2"/>
        <scheme val="minor"/>
      </rPr>
      <t>Au</t>
    </r>
  </si>
  <si>
    <r>
      <t>a</t>
    </r>
    <r>
      <rPr>
        <vertAlign val="subscript"/>
        <sz val="11"/>
        <color theme="1"/>
        <rFont val="Calibri"/>
        <family val="2"/>
        <scheme val="minor"/>
      </rPr>
      <t>Cu</t>
    </r>
  </si>
  <si>
    <r>
      <t>a</t>
    </r>
    <r>
      <rPr>
        <vertAlign val="subscript"/>
        <sz val="11"/>
        <color theme="1"/>
        <rFont val="Calibri"/>
        <family val="2"/>
        <scheme val="minor"/>
      </rPr>
      <t>Pd</t>
    </r>
  </si>
  <si>
    <r>
      <t>a</t>
    </r>
    <r>
      <rPr>
        <vertAlign val="subscript"/>
        <sz val="11"/>
        <color theme="1"/>
        <rFont val="Calibri"/>
        <family val="2"/>
        <scheme val="minor"/>
      </rPr>
      <t>Alloy</t>
    </r>
  </si>
  <si>
    <t>Conversion</t>
  </si>
  <si>
    <t>(Coulter et al., 2010)</t>
  </si>
  <si>
    <t>https://doi.org/10.1021/jp1039628</t>
  </si>
  <si>
    <t>XPd</t>
  </si>
  <si>
    <r>
      <t>X</t>
    </r>
    <r>
      <rPr>
        <vertAlign val="subscript"/>
        <sz val="11"/>
        <color theme="1"/>
        <rFont val="Calibri"/>
        <family val="2"/>
        <scheme val="minor"/>
      </rPr>
      <t>Pd</t>
    </r>
  </si>
  <si>
    <r>
      <t>X</t>
    </r>
    <r>
      <rPr>
        <vertAlign val="subscript"/>
        <sz val="11"/>
        <color theme="1"/>
        <rFont val="Calibri"/>
        <family val="2"/>
        <scheme val="minor"/>
      </rPr>
      <t>Ag</t>
    </r>
  </si>
  <si>
    <r>
      <t>X</t>
    </r>
    <r>
      <rPr>
        <vertAlign val="subscript"/>
        <sz val="11"/>
        <color theme="1"/>
        <rFont val="Calibri"/>
        <family val="2"/>
        <scheme val="minor"/>
      </rPr>
      <t>Ni</t>
    </r>
  </si>
  <si>
    <r>
      <t>a</t>
    </r>
    <r>
      <rPr>
        <vertAlign val="subscript"/>
        <sz val="11"/>
        <color theme="1"/>
        <rFont val="Calibri"/>
        <family val="2"/>
        <scheme val="minor"/>
      </rPr>
      <t>Ag</t>
    </r>
  </si>
  <si>
    <r>
      <t>a</t>
    </r>
    <r>
      <rPr>
        <vertAlign val="subscript"/>
        <sz val="11"/>
        <color theme="1"/>
        <rFont val="Calibri"/>
        <family val="2"/>
        <scheme val="minor"/>
      </rPr>
      <t>Ni</t>
    </r>
  </si>
  <si>
    <t>Pd80.99Ag9.45Ni9.56</t>
  </si>
  <si>
    <t>(Mordkovich  et al., 1992)</t>
  </si>
  <si>
    <t>https://doi.org/10.1595/003214092X3629097</t>
  </si>
  <si>
    <t>Pd76.0Ag18.0Ni6.0</t>
  </si>
  <si>
    <t>Pd55.0Ag28.0Ni17.0</t>
  </si>
  <si>
    <t>Pd33.0Ag59.0Ni8.0</t>
  </si>
  <si>
    <t>Piskin</t>
  </si>
  <si>
    <r>
      <t>X</t>
    </r>
    <r>
      <rPr>
        <vertAlign val="subscript"/>
        <sz val="11"/>
        <color theme="1"/>
        <rFont val="Calibri"/>
        <family val="2"/>
        <scheme val="minor"/>
      </rPr>
      <t>Au</t>
    </r>
  </si>
  <si>
    <t>Pd75.985Ag19.981Au1.368Ru2.666</t>
  </si>
  <si>
    <r>
      <t>aR</t>
    </r>
    <r>
      <rPr>
        <vertAlign val="subscript"/>
        <sz val="11"/>
        <color theme="1"/>
        <rFont val="Calibri"/>
        <family val="2"/>
        <scheme val="minor"/>
      </rPr>
      <t>u</t>
    </r>
  </si>
  <si>
    <t>Pd66.80Ag30.40Pt2.80</t>
  </si>
  <si>
    <t>Pd66.724Ag28.343Au2.772Ru2.161</t>
  </si>
  <si>
    <t>Pd81.18Au15.66Pt3.16</t>
  </si>
  <si>
    <t>Pd78.94Au15.23Rh5.83</t>
  </si>
  <si>
    <t>Pd68.24Ag29.69Rh2.08</t>
  </si>
  <si>
    <t>Pd68.21Ag29.68Rh2.11</t>
  </si>
  <si>
    <t>Pd68.90Ag29.98Ir1.12</t>
  </si>
  <si>
    <t>Pd68.226Cu17.574Au11.338Pt2.862</t>
  </si>
  <si>
    <t>Pd66.712Cu17.184Au11.087Pt0.560Rh2.123Ru1.944Fe0.391</t>
  </si>
  <si>
    <r>
      <t>a</t>
    </r>
    <r>
      <rPr>
        <vertAlign val="subscript"/>
        <sz val="11"/>
        <color theme="1"/>
        <rFont val="Calibri"/>
        <family val="2"/>
        <scheme val="minor"/>
      </rPr>
      <t>Pt</t>
    </r>
  </si>
  <si>
    <r>
      <t>X</t>
    </r>
    <r>
      <rPr>
        <vertAlign val="subscript"/>
        <sz val="11"/>
        <color theme="1"/>
        <rFont val="Calibri"/>
        <family val="2"/>
        <scheme val="minor"/>
      </rPr>
      <t>Pt</t>
    </r>
  </si>
  <si>
    <t>reference</t>
  </si>
  <si>
    <t>(Yamamoto et al., 1964) USP 3155467</t>
  </si>
  <si>
    <t>https://patents.google.com/patent/US3155467</t>
  </si>
  <si>
    <r>
      <t>X</t>
    </r>
    <r>
      <rPr>
        <vertAlign val="subscript"/>
        <sz val="11"/>
        <color theme="1"/>
        <rFont val="Calibri"/>
        <family val="2"/>
        <scheme val="minor"/>
      </rPr>
      <t>Ru</t>
    </r>
  </si>
  <si>
    <r>
      <t>a</t>
    </r>
    <r>
      <rPr>
        <vertAlign val="subscript"/>
        <sz val="11"/>
        <color theme="1"/>
        <rFont val="Calibri"/>
        <family val="2"/>
        <scheme val="minor"/>
      </rPr>
      <t>Ru</t>
    </r>
  </si>
  <si>
    <t>XRh</t>
  </si>
  <si>
    <r>
      <t>a</t>
    </r>
    <r>
      <rPr>
        <b/>
        <vertAlign val="subscript"/>
        <sz val="11"/>
        <color theme="0"/>
        <rFont val="Calibri"/>
        <family val="2"/>
        <scheme val="minor"/>
      </rPr>
      <t>Pd</t>
    </r>
    <r>
      <rPr>
        <vertAlign val="subscript"/>
        <sz val="11"/>
        <color theme="1"/>
        <rFont val="Calibri"/>
        <family val="2"/>
        <scheme val="minor"/>
      </rPr>
      <t>Pd</t>
    </r>
  </si>
  <si>
    <r>
      <t>a</t>
    </r>
    <r>
      <rPr>
        <b/>
        <vertAlign val="subscript"/>
        <sz val="11"/>
        <color theme="0"/>
        <rFont val="Calibri"/>
        <family val="2"/>
        <scheme val="minor"/>
      </rPr>
      <t>Au</t>
    </r>
  </si>
  <si>
    <r>
      <t>a</t>
    </r>
    <r>
      <rPr>
        <b/>
        <vertAlign val="subscript"/>
        <sz val="11"/>
        <color theme="0"/>
        <rFont val="Calibri"/>
        <family val="2"/>
        <scheme val="minor"/>
      </rPr>
      <t>Rh</t>
    </r>
  </si>
  <si>
    <r>
      <t>a</t>
    </r>
    <r>
      <rPr>
        <b/>
        <vertAlign val="subscript"/>
        <sz val="11"/>
        <color theme="0"/>
        <rFont val="Calibri"/>
        <family val="2"/>
        <scheme val="minor"/>
      </rPr>
      <t>Alloy</t>
    </r>
  </si>
  <si>
    <r>
      <t>a</t>
    </r>
    <r>
      <rPr>
        <b/>
        <vertAlign val="subscript"/>
        <sz val="11"/>
        <color theme="0"/>
        <rFont val="Calibri"/>
        <family val="2"/>
        <scheme val="minor"/>
      </rPr>
      <t>Ag</t>
    </r>
  </si>
  <si>
    <t>XIr</t>
  </si>
  <si>
    <r>
      <t>a</t>
    </r>
    <r>
      <rPr>
        <b/>
        <vertAlign val="subscript"/>
        <sz val="11"/>
        <color theme="0"/>
        <rFont val="Calibri"/>
        <family val="2"/>
        <scheme val="minor"/>
      </rPr>
      <t>Ir</t>
    </r>
  </si>
  <si>
    <t>XCu</t>
  </si>
  <si>
    <r>
      <t>a</t>
    </r>
    <r>
      <rPr>
        <b/>
        <vertAlign val="subscript"/>
        <sz val="11"/>
        <color theme="0"/>
        <rFont val="Calibri"/>
        <family val="2"/>
        <scheme val="minor"/>
      </rPr>
      <t>Pt</t>
    </r>
  </si>
  <si>
    <r>
      <t>a</t>
    </r>
    <r>
      <rPr>
        <b/>
        <vertAlign val="subscript"/>
        <sz val="11"/>
        <color theme="0"/>
        <rFont val="Calibri"/>
        <family val="2"/>
        <scheme val="minor"/>
      </rPr>
      <t>Cu</t>
    </r>
  </si>
  <si>
    <t>XFe</t>
  </si>
  <si>
    <r>
      <t>a</t>
    </r>
    <r>
      <rPr>
        <b/>
        <vertAlign val="subscript"/>
        <sz val="11"/>
        <color theme="0"/>
        <rFont val="Calibri"/>
        <family val="2"/>
        <scheme val="minor"/>
      </rPr>
      <t>Fe</t>
    </r>
  </si>
  <si>
    <t>Pd92.40In5.55Ru0.52Co1.53</t>
  </si>
  <si>
    <t>Pd91.71In5.53Ru0.52Co2.24</t>
  </si>
  <si>
    <t>XCo</t>
  </si>
  <si>
    <t>XIn</t>
  </si>
  <si>
    <r>
      <t>a</t>
    </r>
    <r>
      <rPr>
        <b/>
        <vertAlign val="subscript"/>
        <sz val="11"/>
        <color theme="0"/>
        <rFont val="Calibri"/>
        <family val="2"/>
        <scheme val="minor"/>
      </rPr>
      <t>In</t>
    </r>
  </si>
  <si>
    <r>
      <t>a</t>
    </r>
    <r>
      <rPr>
        <b/>
        <vertAlign val="subscript"/>
        <sz val="11"/>
        <color theme="0"/>
        <rFont val="Calibri"/>
        <family val="2"/>
        <scheme val="minor"/>
      </rPr>
      <t>Co</t>
    </r>
  </si>
  <si>
    <t>Pd46.28Cu51.73Mn1.99</t>
  </si>
  <si>
    <t>Pd47.24Cu52.71Mn0.05</t>
  </si>
  <si>
    <t>Pd47.24Cu52.46Mn0.30</t>
  </si>
  <si>
    <t>Pd46.77Cu52.24Mn0.99</t>
  </si>
  <si>
    <t>Pd47.01Cu52.49Mn0.5</t>
  </si>
  <si>
    <r>
      <t>a</t>
    </r>
    <r>
      <rPr>
        <b/>
        <vertAlign val="subscript"/>
        <sz val="11"/>
        <color theme="0"/>
        <rFont val="Calibri"/>
        <family val="2"/>
        <scheme val="minor"/>
      </rPr>
      <t>Mn</t>
    </r>
  </si>
  <si>
    <r>
      <t>X</t>
    </r>
    <r>
      <rPr>
        <b/>
        <vertAlign val="subscript"/>
        <sz val="11"/>
        <color theme="0"/>
        <rFont val="Calibri"/>
        <family val="2"/>
        <scheme val="minor"/>
      </rPr>
      <t>Pd</t>
    </r>
  </si>
  <si>
    <r>
      <t>X</t>
    </r>
    <r>
      <rPr>
        <b/>
        <vertAlign val="subscript"/>
        <sz val="11"/>
        <color theme="0"/>
        <rFont val="Calibri"/>
        <family val="2"/>
        <scheme val="minor"/>
      </rPr>
      <t>Cu</t>
    </r>
  </si>
  <si>
    <r>
      <t>X</t>
    </r>
    <r>
      <rPr>
        <b/>
        <vertAlign val="subscript"/>
        <sz val="11"/>
        <color theme="0"/>
        <rFont val="Calibri"/>
        <family val="2"/>
        <scheme val="minor"/>
      </rPr>
      <t>Mn</t>
    </r>
  </si>
  <si>
    <t>JP2010070818A</t>
  </si>
  <si>
    <t>https://patents.google.com/patent/JP2010070818A/en?oq=JP+2012-201974</t>
  </si>
  <si>
    <r>
      <t>Alloy (Pd</t>
    </r>
    <r>
      <rPr>
        <i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Cu</t>
    </r>
    <r>
      <rPr>
        <i/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>)</t>
    </r>
    <r>
      <rPr>
        <i/>
        <vertAlign val="subscript"/>
        <sz val="11"/>
        <color theme="1"/>
        <rFont val="Calibri"/>
        <family val="2"/>
        <scheme val="minor"/>
      </rPr>
      <t>(1-z)</t>
    </r>
    <r>
      <rPr>
        <sz val="11"/>
        <color theme="1"/>
        <rFont val="Calibri"/>
        <family val="2"/>
        <scheme val="minor"/>
      </rPr>
      <t>Mn</t>
    </r>
    <r>
      <rPr>
        <i/>
        <vertAlign val="subscript"/>
        <sz val="11"/>
        <color theme="1"/>
        <rFont val="Calibri"/>
        <family val="2"/>
        <scheme val="minor"/>
      </rPr>
      <t>z</t>
    </r>
  </si>
  <si>
    <r>
      <t>X</t>
    </r>
    <r>
      <rPr>
        <i/>
        <vertAlign val="subscript"/>
        <sz val="11"/>
        <color theme="1"/>
        <rFont val="Calibri"/>
        <family val="2"/>
        <scheme val="minor"/>
      </rPr>
      <t>Pd</t>
    </r>
  </si>
  <si>
    <r>
      <t>X</t>
    </r>
    <r>
      <rPr>
        <i/>
        <vertAlign val="subscript"/>
        <sz val="11"/>
        <color theme="1"/>
        <rFont val="Calibri"/>
        <family val="2"/>
        <scheme val="minor"/>
      </rPr>
      <t>Cu</t>
    </r>
  </si>
  <si>
    <r>
      <t>a</t>
    </r>
    <r>
      <rPr>
        <vertAlign val="subscript"/>
        <sz val="11"/>
        <color theme="1"/>
        <rFont val="Calibri"/>
        <family val="2"/>
        <scheme val="minor"/>
      </rPr>
      <t>Pd</t>
    </r>
    <r>
      <rPr>
        <i/>
        <vertAlign val="subscript"/>
        <sz val="11"/>
        <color theme="1"/>
        <rFont val="Calibri"/>
        <family val="2"/>
        <scheme val="minor"/>
      </rPr>
      <t>x</t>
    </r>
    <r>
      <rPr>
        <vertAlign val="subscript"/>
        <sz val="11"/>
        <color theme="1"/>
        <rFont val="Calibri"/>
        <family val="2"/>
        <scheme val="minor"/>
      </rPr>
      <t>Cu</t>
    </r>
    <r>
      <rPr>
        <i/>
        <vertAlign val="subscript"/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>(BCC)</t>
    </r>
  </si>
  <si>
    <r>
      <t>(1-X</t>
    </r>
    <r>
      <rPr>
        <vertAlign val="subscript"/>
        <sz val="11"/>
        <color theme="1"/>
        <rFont val="Calibri"/>
        <family val="2"/>
        <scheme val="minor"/>
      </rPr>
      <t>Mn</t>
    </r>
    <r>
      <rPr>
        <sz val="11"/>
        <color theme="1"/>
        <rFont val="Calibri"/>
        <family val="2"/>
        <scheme val="minor"/>
      </rPr>
      <t>)</t>
    </r>
  </si>
  <si>
    <r>
      <rPr>
        <i/>
        <sz val="11"/>
        <color theme="1"/>
        <rFont val="Calibri"/>
        <family val="2"/>
        <scheme val="minor"/>
      </rPr>
      <t>X</t>
    </r>
    <r>
      <rPr>
        <vertAlign val="subscript"/>
        <sz val="11"/>
        <color theme="1"/>
        <rFont val="Calibri"/>
        <family val="2"/>
        <scheme val="minor"/>
      </rPr>
      <t>Mn</t>
    </r>
  </si>
  <si>
    <r>
      <t>a</t>
    </r>
    <r>
      <rPr>
        <vertAlign val="subscript"/>
        <sz val="11"/>
        <color theme="1"/>
        <rFont val="Calibri"/>
        <family val="2"/>
        <scheme val="minor"/>
      </rPr>
      <t>Mn</t>
    </r>
  </si>
  <si>
    <t>Pd45.75Cu53.70Al0.55</t>
  </si>
  <si>
    <t>Pd44.50Cu55.00Al0.5</t>
  </si>
  <si>
    <t>Pd46.69Cu52.86Al0.46</t>
  </si>
  <si>
    <r>
      <t>Alloy (Pd</t>
    </r>
    <r>
      <rPr>
        <vertAlign val="sub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Cu</t>
    </r>
    <r>
      <rPr>
        <vertAlign val="subscript"/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>)</t>
    </r>
    <r>
      <rPr>
        <i/>
        <vertAlign val="subscript"/>
        <sz val="11"/>
        <color theme="1"/>
        <rFont val="Calibri"/>
        <family val="2"/>
        <scheme val="minor"/>
      </rPr>
      <t>(1-z)</t>
    </r>
    <r>
      <rPr>
        <sz val="11"/>
        <color theme="1"/>
        <rFont val="Calibri"/>
        <family val="2"/>
        <scheme val="minor"/>
      </rPr>
      <t>Al</t>
    </r>
    <r>
      <rPr>
        <i/>
        <vertAlign val="subscript"/>
        <sz val="11"/>
        <color theme="1"/>
        <rFont val="Calibri"/>
        <family val="2"/>
        <scheme val="minor"/>
      </rPr>
      <t>z</t>
    </r>
  </si>
  <si>
    <t>Xcu</t>
  </si>
  <si>
    <t xml:space="preserve">XAl </t>
  </si>
  <si>
    <t>aPdxCuy(BCC)</t>
  </si>
  <si>
    <t>(1-XAl)</t>
  </si>
  <si>
    <t>aAl</t>
  </si>
  <si>
    <t>aAlloy</t>
  </si>
  <si>
    <t>Pd47.66Cu51.84Al0.50</t>
  </si>
  <si>
    <t>Pd41.38Cu58.57Al0.05</t>
  </si>
  <si>
    <t>Pd41.02Cu58.78Al0.20</t>
  </si>
  <si>
    <t>Pd41.00Cu58.51Al0.49</t>
  </si>
  <si>
    <t>Pd40.21Cu57.86Al1.93</t>
  </si>
  <si>
    <t>Pd45.80Cu53.98Al0.22</t>
  </si>
  <si>
    <t>Pd45.25Cu53.77Al0.98</t>
  </si>
  <si>
    <t>Pd44.77Cu53.20Al2.03</t>
  </si>
  <si>
    <t>Pd48.39Cu48.58Al3.03</t>
  </si>
  <si>
    <t>Pd49.88Cu50.07Al0.05</t>
  </si>
  <si>
    <t>Pd49.36Cu50.15Al0.49</t>
  </si>
  <si>
    <t>Pd49.19Cu49.78Al1.03</t>
  </si>
  <si>
    <t>Pd48.55Cu49.53Al1.92</t>
  </si>
  <si>
    <t>Pd48.08Cu48.08Al3.84</t>
  </si>
  <si>
    <t>Pd40.57Cu57.18Al2.25</t>
  </si>
  <si>
    <t>Pd44.74Cu52.10Al3.16</t>
  </si>
  <si>
    <t>Pd48.25Cu47.67Al4.08</t>
  </si>
  <si>
    <t>Pd38.89Cu60.58Al0.53</t>
  </si>
  <si>
    <t>Pd51.65Cu47.86Al0.49</t>
  </si>
  <si>
    <t>Pd38.62Cu59.41Al1.97</t>
  </si>
  <si>
    <t>Pd51.27Cu46.58Al2.15</t>
  </si>
  <si>
    <t>Pd84.0Cu8.0Ho8.0</t>
  </si>
  <si>
    <t>Pd76.0Ag16.0Ho8.0</t>
  </si>
  <si>
    <t>Pd84.0Ag8.0Ho8.0</t>
  </si>
  <si>
    <r>
      <t>Alloy (Pd</t>
    </r>
    <r>
      <rPr>
        <vertAlign val="sub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Ag</t>
    </r>
    <r>
      <rPr>
        <vertAlign val="subscript"/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>)</t>
    </r>
    <r>
      <rPr>
        <i/>
        <vertAlign val="subscript"/>
        <sz val="11"/>
        <color theme="1"/>
        <rFont val="Calibri"/>
        <family val="2"/>
        <scheme val="minor"/>
      </rPr>
      <t>(1-z)</t>
    </r>
    <r>
      <rPr>
        <sz val="11"/>
        <color theme="1"/>
        <rFont val="Calibri"/>
        <family val="2"/>
        <scheme val="minor"/>
      </rPr>
      <t>Ho</t>
    </r>
    <r>
      <rPr>
        <i/>
        <vertAlign val="subscript"/>
        <sz val="11"/>
        <color theme="1"/>
        <rFont val="Calibri"/>
        <family val="2"/>
        <scheme val="minor"/>
      </rPr>
      <t>z</t>
    </r>
  </si>
  <si>
    <t>XPd/(1-XAl/100)</t>
  </si>
  <si>
    <t>XCu/(1-XCu/100)</t>
  </si>
  <si>
    <r>
      <t>X</t>
    </r>
    <r>
      <rPr>
        <vertAlign val="subscript"/>
        <sz val="11"/>
        <color theme="1"/>
        <rFont val="Calibri"/>
        <family val="2"/>
        <scheme val="minor"/>
      </rPr>
      <t>Pd</t>
    </r>
    <r>
      <rPr>
        <sz val="11"/>
        <color theme="1"/>
        <rFont val="Calibri"/>
        <family val="2"/>
        <scheme val="minor"/>
      </rPr>
      <t>/(1-X</t>
    </r>
    <r>
      <rPr>
        <vertAlign val="subscript"/>
        <sz val="11"/>
        <color theme="1"/>
        <rFont val="Calibri"/>
        <family val="2"/>
        <scheme val="minor"/>
      </rPr>
      <t>Ho</t>
    </r>
    <r>
      <rPr>
        <sz val="11"/>
        <color theme="1"/>
        <rFont val="Calibri"/>
        <family val="2"/>
        <scheme val="minor"/>
      </rPr>
      <t>/100)</t>
    </r>
  </si>
  <si>
    <r>
      <t>X</t>
    </r>
    <r>
      <rPr>
        <vertAlign val="subscript"/>
        <sz val="11"/>
        <color theme="1"/>
        <rFont val="Calibri"/>
        <family val="2"/>
        <scheme val="minor"/>
      </rPr>
      <t>Ag</t>
    </r>
    <r>
      <rPr>
        <sz val="11"/>
        <color theme="1"/>
        <rFont val="Calibri"/>
        <family val="2"/>
        <scheme val="minor"/>
      </rPr>
      <t>/(1-X</t>
    </r>
    <r>
      <rPr>
        <vertAlign val="subscript"/>
        <sz val="11"/>
        <color theme="1"/>
        <rFont val="Calibri"/>
        <family val="2"/>
        <scheme val="minor"/>
      </rPr>
      <t>Ho</t>
    </r>
    <r>
      <rPr>
        <sz val="11"/>
        <color theme="1"/>
        <rFont val="Calibri"/>
        <family val="2"/>
        <scheme val="minor"/>
      </rPr>
      <t>/100)</t>
    </r>
  </si>
  <si>
    <t>Xag</t>
  </si>
  <si>
    <t xml:space="preserve">XHo </t>
  </si>
  <si>
    <t>aAlloy(A)</t>
  </si>
  <si>
    <r>
      <t>a</t>
    </r>
    <r>
      <rPr>
        <vertAlign val="subscript"/>
        <sz val="11"/>
        <color theme="1"/>
        <rFont val="Calibri"/>
        <family val="2"/>
        <scheme val="minor"/>
      </rPr>
      <t>Alloy</t>
    </r>
    <r>
      <rPr>
        <sz val="11"/>
        <color theme="1"/>
        <rFont val="Calibri"/>
        <family val="2"/>
        <scheme val="minor"/>
      </rPr>
      <t xml:space="preserve"> (A)</t>
    </r>
  </si>
  <si>
    <t>(1-XHo)</t>
  </si>
  <si>
    <t>aHo</t>
  </si>
  <si>
    <t>JP2001262252A</t>
  </si>
  <si>
    <r>
      <t>Alloy (Pd</t>
    </r>
    <r>
      <rPr>
        <b/>
        <vertAlign val="subscript"/>
        <sz val="11"/>
        <color theme="0"/>
        <rFont val="Calibri"/>
        <family val="2"/>
        <scheme val="minor"/>
      </rPr>
      <t>x</t>
    </r>
    <r>
      <rPr>
        <b/>
        <sz val="11"/>
        <color theme="0"/>
        <rFont val="Calibri"/>
        <family val="2"/>
        <scheme val="minor"/>
      </rPr>
      <t>Cu</t>
    </r>
    <r>
      <rPr>
        <b/>
        <vertAlign val="subscript"/>
        <sz val="11"/>
        <color theme="0"/>
        <rFont val="Calibri"/>
        <family val="2"/>
        <scheme val="minor"/>
      </rPr>
      <t>y</t>
    </r>
    <r>
      <rPr>
        <b/>
        <sz val="11"/>
        <color theme="0"/>
        <rFont val="Calibri"/>
        <family val="2"/>
        <scheme val="minor"/>
      </rPr>
      <t>)</t>
    </r>
    <r>
      <rPr>
        <b/>
        <vertAlign val="subscript"/>
        <sz val="11"/>
        <color theme="0"/>
        <rFont val="Calibri"/>
        <family val="2"/>
        <scheme val="minor"/>
      </rPr>
      <t>(1-z)</t>
    </r>
    <r>
      <rPr>
        <b/>
        <sz val="11"/>
        <color theme="0"/>
        <rFont val="Calibri"/>
        <family val="2"/>
        <scheme val="minor"/>
      </rPr>
      <t>Ho</t>
    </r>
    <r>
      <rPr>
        <b/>
        <vertAlign val="subscript"/>
        <sz val="11"/>
        <color theme="0"/>
        <rFont val="Calibri"/>
        <family val="2"/>
        <scheme val="minor"/>
      </rPr>
      <t>z</t>
    </r>
  </si>
  <si>
    <r>
      <t>X</t>
    </r>
    <r>
      <rPr>
        <b/>
        <vertAlign val="subscript"/>
        <sz val="11"/>
        <color theme="0"/>
        <rFont val="Calibri"/>
        <family val="2"/>
        <scheme val="minor"/>
      </rPr>
      <t>Pd</t>
    </r>
    <r>
      <rPr>
        <b/>
        <sz val="11"/>
        <color theme="0"/>
        <rFont val="Calibri"/>
        <family val="2"/>
        <scheme val="minor"/>
      </rPr>
      <t>/(1-X</t>
    </r>
    <r>
      <rPr>
        <b/>
        <vertAlign val="subscript"/>
        <sz val="11"/>
        <color theme="0"/>
        <rFont val="Calibri"/>
        <family val="2"/>
        <scheme val="minor"/>
      </rPr>
      <t>Ho</t>
    </r>
    <r>
      <rPr>
        <b/>
        <sz val="11"/>
        <color theme="0"/>
        <rFont val="Calibri"/>
        <family val="2"/>
        <scheme val="minor"/>
      </rPr>
      <t>/100)</t>
    </r>
  </si>
  <si>
    <r>
      <t>aPd</t>
    </r>
    <r>
      <rPr>
        <b/>
        <vertAlign val="subscript"/>
        <sz val="11"/>
        <color theme="0"/>
        <rFont val="Calibri"/>
        <family val="2"/>
        <scheme val="minor"/>
      </rPr>
      <t>x</t>
    </r>
    <r>
      <rPr>
        <b/>
        <sz val="11"/>
        <color theme="0"/>
        <rFont val="Calibri"/>
        <family val="2"/>
        <scheme val="minor"/>
      </rPr>
      <t>Cu</t>
    </r>
    <r>
      <rPr>
        <b/>
        <vertAlign val="subscript"/>
        <sz val="11"/>
        <color theme="0"/>
        <rFont val="Calibri"/>
        <family val="2"/>
        <scheme val="minor"/>
      </rPr>
      <t>y</t>
    </r>
    <r>
      <rPr>
        <b/>
        <sz val="11"/>
        <color theme="0"/>
        <rFont val="Calibri"/>
        <family val="2"/>
        <scheme val="minor"/>
      </rPr>
      <t>(BCC)</t>
    </r>
  </si>
  <si>
    <r>
      <t>X</t>
    </r>
    <r>
      <rPr>
        <b/>
        <vertAlign val="subscript"/>
        <sz val="11"/>
        <color theme="0"/>
        <rFont val="Calibri"/>
        <family val="2"/>
        <scheme val="minor"/>
      </rPr>
      <t>Cu</t>
    </r>
    <r>
      <rPr>
        <b/>
        <sz val="11"/>
        <color theme="0"/>
        <rFont val="Calibri"/>
        <family val="2"/>
        <scheme val="minor"/>
      </rPr>
      <t>/(1-X</t>
    </r>
    <r>
      <rPr>
        <b/>
        <vertAlign val="subscript"/>
        <sz val="11"/>
        <color theme="0"/>
        <rFont val="Calibri"/>
        <family val="2"/>
        <scheme val="minor"/>
      </rPr>
      <t>Ho</t>
    </r>
    <r>
      <rPr>
        <b/>
        <sz val="11"/>
        <color theme="0"/>
        <rFont val="Calibri"/>
        <family val="2"/>
        <scheme val="minor"/>
      </rPr>
      <t>/100)</t>
    </r>
  </si>
  <si>
    <t>Pd45.0Cu54.8Al0.2</t>
  </si>
  <si>
    <t>Pd45.0Cu54.8In0.2</t>
  </si>
  <si>
    <t>Pd45.0Cu54.8Ga0.2</t>
  </si>
  <si>
    <t>Pd45.0Cu54.2Al0.8</t>
  </si>
  <si>
    <t>Pd45.0Cu54.2In0.8</t>
  </si>
  <si>
    <t>Pd45.0Cu54.2Ga0.8</t>
  </si>
  <si>
    <t>Pd45.0Cu53Al2.0</t>
  </si>
  <si>
    <t>Pd45.0Cu53In2.0</t>
  </si>
  <si>
    <t>Pd45.0Cu53Ga2.0</t>
  </si>
  <si>
    <t>Pd41.0Cu58.8Al0.2</t>
  </si>
  <si>
    <t>Pd50.0Cu49.8Al0.2</t>
  </si>
  <si>
    <t>Pd41.0Cu58.2Al0.8</t>
  </si>
  <si>
    <t>Pd43.0Cu56.2Al0.8</t>
  </si>
  <si>
    <t>Pd47.0Cu52.2Al0.8</t>
  </si>
  <si>
    <t>Pd50.0Cu49.2Al0.8</t>
  </si>
  <si>
    <t>Pd41.0Cu57Al2.0</t>
  </si>
  <si>
    <t>Pd50.0Cu48Al2.0</t>
  </si>
  <si>
    <r>
      <t>Alloy (Pd</t>
    </r>
    <r>
      <rPr>
        <b/>
        <vertAlign val="subscript"/>
        <sz val="11"/>
        <color theme="0"/>
        <rFont val="Calibri"/>
        <family val="2"/>
        <scheme val="minor"/>
      </rPr>
      <t>x</t>
    </r>
    <r>
      <rPr>
        <b/>
        <sz val="11"/>
        <color theme="0"/>
        <rFont val="Calibri"/>
        <family val="2"/>
        <scheme val="minor"/>
      </rPr>
      <t>Cu</t>
    </r>
    <r>
      <rPr>
        <b/>
        <vertAlign val="subscript"/>
        <sz val="11"/>
        <color theme="0"/>
        <rFont val="Calibri"/>
        <family val="2"/>
        <scheme val="minor"/>
      </rPr>
      <t>y</t>
    </r>
    <r>
      <rPr>
        <b/>
        <sz val="11"/>
        <color theme="0"/>
        <rFont val="Calibri"/>
        <family val="2"/>
        <scheme val="minor"/>
      </rPr>
      <t>)</t>
    </r>
    <r>
      <rPr>
        <b/>
        <vertAlign val="subscript"/>
        <sz val="11"/>
        <color theme="0"/>
        <rFont val="Calibri"/>
        <family val="2"/>
        <scheme val="minor"/>
      </rPr>
      <t>(1-z)</t>
    </r>
    <r>
      <rPr>
        <b/>
        <sz val="11"/>
        <color theme="0"/>
        <rFont val="Calibri"/>
        <family val="2"/>
        <scheme val="minor"/>
      </rPr>
      <t>In</t>
    </r>
    <r>
      <rPr>
        <b/>
        <vertAlign val="subscript"/>
        <sz val="11"/>
        <color theme="0"/>
        <rFont val="Calibri"/>
        <family val="2"/>
        <scheme val="minor"/>
      </rPr>
      <t>z</t>
    </r>
  </si>
  <si>
    <t>(1-XIn)</t>
  </si>
  <si>
    <t>aIn</t>
  </si>
  <si>
    <r>
      <t>X</t>
    </r>
    <r>
      <rPr>
        <b/>
        <vertAlign val="subscript"/>
        <sz val="11"/>
        <color theme="0"/>
        <rFont val="Calibri"/>
        <family val="2"/>
        <scheme val="minor"/>
      </rPr>
      <t>Pd</t>
    </r>
    <r>
      <rPr>
        <b/>
        <sz val="11"/>
        <color theme="0"/>
        <rFont val="Calibri"/>
        <family val="2"/>
        <scheme val="minor"/>
      </rPr>
      <t>/(1-X</t>
    </r>
    <r>
      <rPr>
        <b/>
        <vertAlign val="subscript"/>
        <sz val="11"/>
        <color theme="0"/>
        <rFont val="Calibri"/>
        <family val="2"/>
        <scheme val="minor"/>
      </rPr>
      <t>In</t>
    </r>
    <r>
      <rPr>
        <b/>
        <sz val="11"/>
        <color theme="0"/>
        <rFont val="Calibri"/>
        <family val="2"/>
        <scheme val="minor"/>
      </rPr>
      <t>/100)</t>
    </r>
  </si>
  <si>
    <r>
      <t>X</t>
    </r>
    <r>
      <rPr>
        <b/>
        <vertAlign val="subscript"/>
        <sz val="11"/>
        <color theme="0"/>
        <rFont val="Calibri"/>
        <family val="2"/>
        <scheme val="minor"/>
      </rPr>
      <t>Cu</t>
    </r>
    <r>
      <rPr>
        <b/>
        <sz val="11"/>
        <color theme="0"/>
        <rFont val="Calibri"/>
        <family val="2"/>
        <scheme val="minor"/>
      </rPr>
      <t>/(1-X</t>
    </r>
    <r>
      <rPr>
        <b/>
        <vertAlign val="subscript"/>
        <sz val="11"/>
        <color theme="0"/>
        <rFont val="Calibri"/>
        <family val="2"/>
        <scheme val="minor"/>
      </rPr>
      <t>In</t>
    </r>
    <r>
      <rPr>
        <b/>
        <sz val="11"/>
        <color theme="0"/>
        <rFont val="Calibri"/>
        <family val="2"/>
        <scheme val="minor"/>
      </rPr>
      <t>/100)</t>
    </r>
  </si>
  <si>
    <t>XGa</t>
  </si>
  <si>
    <t>aGa</t>
  </si>
  <si>
    <t>(1-XGa)</t>
  </si>
  <si>
    <r>
      <t>Alloy (Pd</t>
    </r>
    <r>
      <rPr>
        <b/>
        <vertAlign val="subscript"/>
        <sz val="11"/>
        <color theme="0"/>
        <rFont val="Calibri"/>
        <family val="2"/>
        <scheme val="minor"/>
      </rPr>
      <t>x</t>
    </r>
    <r>
      <rPr>
        <b/>
        <sz val="11"/>
        <color theme="0"/>
        <rFont val="Calibri"/>
        <family val="2"/>
        <scheme val="minor"/>
      </rPr>
      <t>Cu</t>
    </r>
    <r>
      <rPr>
        <b/>
        <vertAlign val="subscript"/>
        <sz val="11"/>
        <color theme="0"/>
        <rFont val="Calibri"/>
        <family val="2"/>
        <scheme val="minor"/>
      </rPr>
      <t>y</t>
    </r>
    <r>
      <rPr>
        <b/>
        <sz val="11"/>
        <color theme="0"/>
        <rFont val="Calibri"/>
        <family val="2"/>
        <scheme val="minor"/>
      </rPr>
      <t>)</t>
    </r>
    <r>
      <rPr>
        <b/>
        <vertAlign val="subscript"/>
        <sz val="11"/>
        <color theme="0"/>
        <rFont val="Calibri"/>
        <family val="2"/>
        <scheme val="minor"/>
      </rPr>
      <t>(1-z)</t>
    </r>
    <r>
      <rPr>
        <b/>
        <sz val="11"/>
        <color theme="0"/>
        <rFont val="Calibri"/>
        <family val="2"/>
        <scheme val="minor"/>
      </rPr>
      <t>Ga</t>
    </r>
    <r>
      <rPr>
        <b/>
        <vertAlign val="subscript"/>
        <sz val="11"/>
        <color theme="0"/>
        <rFont val="Calibri"/>
        <family val="2"/>
        <scheme val="minor"/>
      </rPr>
      <t>z</t>
    </r>
  </si>
  <si>
    <r>
      <t>X</t>
    </r>
    <r>
      <rPr>
        <b/>
        <vertAlign val="subscript"/>
        <sz val="11"/>
        <color theme="0"/>
        <rFont val="Calibri"/>
        <family val="2"/>
        <scheme val="minor"/>
      </rPr>
      <t>Cu</t>
    </r>
    <r>
      <rPr>
        <b/>
        <sz val="11"/>
        <color theme="0"/>
        <rFont val="Calibri"/>
        <family val="2"/>
        <scheme val="minor"/>
      </rPr>
      <t>/(1-X</t>
    </r>
    <r>
      <rPr>
        <b/>
        <vertAlign val="subscript"/>
        <sz val="11"/>
        <color theme="0"/>
        <rFont val="Calibri"/>
        <family val="2"/>
        <scheme val="minor"/>
      </rPr>
      <t>Ga</t>
    </r>
    <r>
      <rPr>
        <b/>
        <sz val="11"/>
        <color theme="0"/>
        <rFont val="Calibri"/>
        <family val="2"/>
        <scheme val="minor"/>
      </rPr>
      <t>/100)</t>
    </r>
  </si>
  <si>
    <t>(Pd0.77Ag0.23)(1-x)Fex</t>
  </si>
  <si>
    <t>Xfe</t>
  </si>
  <si>
    <t>XPd/(1-XFe/100)</t>
  </si>
  <si>
    <t>1-XFe</t>
  </si>
  <si>
    <t>aPd77Ag23</t>
  </si>
  <si>
    <t>aFe</t>
  </si>
  <si>
    <t>Pd74.69Ag22.31Fe3.0</t>
  </si>
  <si>
    <t>Pd73.92Ag22.08Fe4.0</t>
  </si>
  <si>
    <t>XAg/(1-XFe/100)</t>
  </si>
  <si>
    <t>Pd83.3Y0.2In1.5Ag15.0</t>
  </si>
  <si>
    <t>Pd85.7Au9.4Pt4.9</t>
  </si>
  <si>
    <t>Pd83.6Au12.1Pt4.3</t>
  </si>
  <si>
    <t>Pd85.0Au10.7Pt4.3</t>
  </si>
  <si>
    <t>Pd81.9Au9.65Pt8.45</t>
  </si>
  <si>
    <t>Pd79.4Au12.9Pt7.7</t>
  </si>
  <si>
    <t>Pd80.2Au12.5Pt7.3</t>
  </si>
  <si>
    <t>Pd81.4Au10.9Pt7.7</t>
  </si>
  <si>
    <t>Pd80.8Au8.8Pt10.4</t>
  </si>
  <si>
    <t>Pd77.9Au11.55Pt10.55</t>
  </si>
  <si>
    <t>Pd81.3Au9.1Pt9.6</t>
  </si>
  <si>
    <t>Pd83.6Au8.6Pt7.8</t>
  </si>
  <si>
    <t>Pd80.7Au11.6Pt7.7</t>
  </si>
  <si>
    <t>Pd75.8Au11.3Pt12.9</t>
  </si>
  <si>
    <t>Pd84.3Au8.1Pt7.6</t>
  </si>
  <si>
    <r>
      <t>(Pd</t>
    </r>
    <r>
      <rPr>
        <b/>
        <vertAlign val="subscript"/>
        <sz val="11"/>
        <color theme="0"/>
        <rFont val="Calibri"/>
        <family val="2"/>
        <scheme val="minor"/>
      </rPr>
      <t>x</t>
    </r>
    <r>
      <rPr>
        <b/>
        <sz val="11"/>
        <color theme="0"/>
        <rFont val="Calibri"/>
        <family val="2"/>
        <scheme val="minor"/>
      </rPr>
      <t>Au</t>
    </r>
    <r>
      <rPr>
        <b/>
        <vertAlign val="subscript"/>
        <sz val="11"/>
        <color theme="0"/>
        <rFont val="Calibri"/>
        <family val="2"/>
        <scheme val="minor"/>
      </rPr>
      <t>y</t>
    </r>
    <r>
      <rPr>
        <b/>
        <sz val="11"/>
        <color theme="0"/>
        <rFont val="Calibri"/>
        <family val="2"/>
        <scheme val="minor"/>
      </rPr>
      <t>)</t>
    </r>
    <r>
      <rPr>
        <b/>
        <vertAlign val="subscript"/>
        <sz val="11"/>
        <color theme="0"/>
        <rFont val="Calibri"/>
        <family val="2"/>
        <scheme val="minor"/>
      </rPr>
      <t>(1-x)</t>
    </r>
    <r>
      <rPr>
        <b/>
        <sz val="11"/>
        <color theme="0"/>
        <rFont val="Calibri"/>
        <family val="2"/>
        <scheme val="minor"/>
      </rPr>
      <t>Pt</t>
    </r>
    <r>
      <rPr>
        <b/>
        <vertAlign val="subscript"/>
        <sz val="11"/>
        <color theme="0"/>
        <rFont val="Calibri"/>
        <family val="2"/>
        <scheme val="minor"/>
      </rPr>
      <t>x</t>
    </r>
  </si>
  <si>
    <t>XPd/(1-XPt/100)</t>
  </si>
  <si>
    <t>XAu/(1-XPt/100)</t>
  </si>
  <si>
    <t>1-XPt</t>
  </si>
  <si>
    <t>aPt</t>
  </si>
  <si>
    <t>At.% Au</t>
  </si>
  <si>
    <r>
      <t>a</t>
    </r>
    <r>
      <rPr>
        <vertAlign val="subscript"/>
        <sz val="11"/>
        <color theme="1"/>
        <rFont val="Calibri"/>
        <family val="2"/>
        <scheme val="minor"/>
      </rPr>
      <t>obs</t>
    </r>
    <r>
      <rPr>
        <sz val="11"/>
        <color theme="1"/>
        <rFont val="Calibri"/>
        <family val="2"/>
        <scheme val="minor"/>
      </rPr>
      <t xml:space="preserve"> (Angstrom)</t>
    </r>
  </si>
  <si>
    <r>
      <t>a</t>
    </r>
    <r>
      <rPr>
        <vertAlign val="subscript"/>
        <sz val="11"/>
        <color theme="1"/>
        <rFont val="Calibri"/>
        <family val="2"/>
        <scheme val="minor"/>
      </rPr>
      <t>calc</t>
    </r>
    <r>
      <rPr>
        <sz val="11"/>
        <color theme="1"/>
        <rFont val="Calibri"/>
        <family val="2"/>
        <scheme val="minor"/>
      </rPr>
      <t xml:space="preserve"> (Angstrom)</t>
    </r>
  </si>
  <si>
    <r>
      <t>a</t>
    </r>
    <r>
      <rPr>
        <vertAlign val="subscript"/>
        <sz val="11"/>
        <color theme="1"/>
        <rFont val="Calibri"/>
        <family val="2"/>
        <scheme val="minor"/>
      </rPr>
      <t>calc</t>
    </r>
    <r>
      <rPr>
        <sz val="11"/>
        <color theme="1"/>
        <rFont val="Calibri"/>
        <family val="2"/>
        <scheme val="minor"/>
      </rPr>
      <t xml:space="preserve"> (nm)</t>
    </r>
  </si>
  <si>
    <r>
      <t>a</t>
    </r>
    <r>
      <rPr>
        <vertAlign val="subscript"/>
        <sz val="11"/>
        <color theme="1"/>
        <rFont val="Calibri"/>
        <family val="2"/>
        <scheme val="minor"/>
      </rPr>
      <t>obs</t>
    </r>
    <r>
      <rPr>
        <sz val="11"/>
        <color theme="1"/>
        <rFont val="Calibri"/>
        <family val="2"/>
        <scheme val="minor"/>
      </rPr>
      <t xml:space="preserve"> (nm)</t>
    </r>
  </si>
  <si>
    <r>
      <t>b=(a</t>
    </r>
    <r>
      <rPr>
        <vertAlign val="subscript"/>
        <sz val="11"/>
        <color theme="1"/>
        <rFont val="Calibri"/>
        <family val="2"/>
        <scheme val="minor"/>
      </rPr>
      <t>calc</t>
    </r>
    <r>
      <rPr>
        <sz val="11"/>
        <color theme="1"/>
        <rFont val="Calibri"/>
        <family val="2"/>
        <scheme val="minor"/>
      </rPr>
      <t xml:space="preserve"> - a</t>
    </r>
    <r>
      <rPr>
        <vertAlign val="subscript"/>
        <sz val="11"/>
        <color theme="1"/>
        <rFont val="Calibri"/>
        <family val="2"/>
        <scheme val="minor"/>
      </rPr>
      <t>exp</t>
    </r>
    <r>
      <rPr>
        <sz val="11"/>
        <color theme="1"/>
        <rFont val="Calibri"/>
        <family val="2"/>
        <scheme val="minor"/>
      </rPr>
      <t>)/(x</t>
    </r>
    <r>
      <rPr>
        <vertAlign val="subscript"/>
        <sz val="11"/>
        <color theme="1"/>
        <rFont val="Calibri"/>
        <family val="2"/>
        <scheme val="minor"/>
      </rPr>
      <t>Au</t>
    </r>
    <r>
      <rPr>
        <sz val="11"/>
        <color theme="1"/>
        <rFont val="Calibri"/>
        <family val="2"/>
        <scheme val="minor"/>
      </rPr>
      <t>*(1-x</t>
    </r>
    <r>
      <rPr>
        <vertAlign val="subscript"/>
        <sz val="11"/>
        <color theme="1"/>
        <rFont val="Calibri"/>
        <family val="2"/>
        <scheme val="minor"/>
      </rPr>
      <t>Au</t>
    </r>
    <r>
      <rPr>
        <sz val="11"/>
        <color theme="1"/>
        <rFont val="Calibri"/>
        <family val="2"/>
        <scheme val="minor"/>
      </rPr>
      <t>))</t>
    </r>
  </si>
  <si>
    <t xml:space="preserve">average bowing factor b= </t>
  </si>
  <si>
    <t>aPd</t>
  </si>
  <si>
    <t>(Coulter et al. 2012)</t>
  </si>
  <si>
    <t>doi:10.1016/j.memsci.2012.02.018</t>
  </si>
  <si>
    <t>aPt(nm)</t>
  </si>
  <si>
    <r>
      <t>a</t>
    </r>
    <r>
      <rPr>
        <b/>
        <vertAlign val="subscript"/>
        <sz val="11"/>
        <color theme="0"/>
        <rFont val="Calibri"/>
        <family val="2"/>
        <scheme val="minor"/>
      </rPr>
      <t>PdxAuy</t>
    </r>
    <r>
      <rPr>
        <b/>
        <sz val="11"/>
        <color theme="0"/>
        <rFont val="Calibri"/>
        <family val="2"/>
        <scheme val="minor"/>
      </rPr>
      <t>(nm)</t>
    </r>
  </si>
  <si>
    <r>
      <t>a</t>
    </r>
    <r>
      <rPr>
        <b/>
        <vertAlign val="subscript"/>
        <sz val="11"/>
        <color theme="0"/>
        <rFont val="Calibri"/>
        <family val="2"/>
        <scheme val="minor"/>
      </rPr>
      <t>Au</t>
    </r>
    <r>
      <rPr>
        <b/>
        <sz val="11"/>
        <color theme="0"/>
        <rFont val="Calibri"/>
        <family val="2"/>
        <scheme val="minor"/>
      </rPr>
      <t>(nm)</t>
    </r>
  </si>
  <si>
    <r>
      <t>a</t>
    </r>
    <r>
      <rPr>
        <b/>
        <vertAlign val="subscript"/>
        <sz val="11"/>
        <color theme="0"/>
        <rFont val="Calibri"/>
        <family val="2"/>
        <scheme val="minor"/>
      </rPr>
      <t>Pd</t>
    </r>
    <r>
      <rPr>
        <b/>
        <sz val="11"/>
        <color theme="0"/>
        <rFont val="Calibri"/>
        <family val="2"/>
        <scheme val="minor"/>
      </rPr>
      <t>(nm)</t>
    </r>
  </si>
  <si>
    <r>
      <t>X</t>
    </r>
    <r>
      <rPr>
        <vertAlign val="subscript"/>
        <sz val="11"/>
        <color theme="1"/>
        <rFont val="Calibri"/>
        <family val="2"/>
        <scheme val="minor"/>
      </rPr>
      <t>In</t>
    </r>
  </si>
  <si>
    <r>
      <t>X</t>
    </r>
    <r>
      <rPr>
        <vertAlign val="subscript"/>
        <sz val="11"/>
        <color theme="1"/>
        <rFont val="Calibri"/>
        <family val="2"/>
        <scheme val="minor"/>
      </rPr>
      <t>Y</t>
    </r>
  </si>
  <si>
    <r>
      <t>Pd</t>
    </r>
    <r>
      <rPr>
        <vertAlign val="subscript"/>
        <sz val="11"/>
        <color theme="1"/>
        <rFont val="Calibri"/>
        <family val="2"/>
        <scheme val="minor"/>
      </rPr>
      <t>83.3</t>
    </r>
    <r>
      <rPr>
        <sz val="11"/>
        <color theme="1"/>
        <rFont val="Calibri"/>
        <family val="2"/>
        <scheme val="minor"/>
      </rPr>
      <t>Y</t>
    </r>
    <r>
      <rPr>
        <vertAlign val="subscript"/>
        <sz val="11"/>
        <color theme="1"/>
        <rFont val="Calibri"/>
        <family val="2"/>
        <scheme val="minor"/>
      </rPr>
      <t>0.2</t>
    </r>
    <r>
      <rPr>
        <sz val="11"/>
        <color theme="1"/>
        <rFont val="Calibri"/>
        <family val="2"/>
        <scheme val="minor"/>
      </rPr>
      <t>In</t>
    </r>
    <r>
      <rPr>
        <vertAlign val="subscript"/>
        <sz val="11"/>
        <color theme="1"/>
        <rFont val="Calibri"/>
        <family val="2"/>
        <scheme val="minor"/>
      </rPr>
      <t>1.5</t>
    </r>
    <r>
      <rPr>
        <sz val="11"/>
        <color theme="1"/>
        <rFont val="Calibri"/>
        <family val="2"/>
        <scheme val="minor"/>
      </rPr>
      <t>Ag</t>
    </r>
    <r>
      <rPr>
        <vertAlign val="subscript"/>
        <sz val="11"/>
        <color theme="1"/>
        <rFont val="Calibri"/>
        <family val="2"/>
        <scheme val="minor"/>
      </rPr>
      <t>15</t>
    </r>
  </si>
  <si>
    <r>
      <t>a</t>
    </r>
    <r>
      <rPr>
        <vertAlign val="subscript"/>
        <sz val="11"/>
        <color theme="1"/>
        <rFont val="Calibri"/>
        <family val="2"/>
        <scheme val="minor"/>
      </rPr>
      <t>Y</t>
    </r>
  </si>
  <si>
    <r>
      <t>a</t>
    </r>
    <r>
      <rPr>
        <vertAlign val="subscript"/>
        <sz val="11"/>
        <color theme="1"/>
        <rFont val="Calibri"/>
        <family val="2"/>
        <scheme val="minor"/>
      </rPr>
      <t>In</t>
    </r>
  </si>
  <si>
    <t>aAg</t>
  </si>
  <si>
    <t>aAu</t>
  </si>
  <si>
    <t>aRu</t>
  </si>
  <si>
    <t>(Sakamoto et al. 1994)</t>
  </si>
  <si>
    <t>https://doi.org/10.1016/0925-8388(94)90790-0</t>
  </si>
  <si>
    <t>Pd48.30Cu51.70</t>
  </si>
  <si>
    <t>Lattice BCC</t>
  </si>
  <si>
    <t>BCC</t>
  </si>
  <si>
    <t>Pd72.0Cu27.0Au1.0</t>
  </si>
  <si>
    <r>
      <t>(Pd</t>
    </r>
    <r>
      <rPr>
        <b/>
        <vertAlign val="subscript"/>
        <sz val="11"/>
        <color theme="0"/>
        <rFont val="Calibri"/>
        <family val="2"/>
        <scheme val="minor"/>
      </rPr>
      <t>x</t>
    </r>
    <r>
      <rPr>
        <b/>
        <sz val="11"/>
        <color theme="0"/>
        <rFont val="Calibri"/>
        <family val="2"/>
        <scheme val="minor"/>
      </rPr>
      <t>Ag</t>
    </r>
    <r>
      <rPr>
        <b/>
        <vertAlign val="subscript"/>
        <sz val="11"/>
        <color theme="0"/>
        <rFont val="Calibri"/>
        <family val="2"/>
        <scheme val="minor"/>
      </rPr>
      <t>y</t>
    </r>
    <r>
      <rPr>
        <b/>
        <sz val="11"/>
        <color theme="0"/>
        <rFont val="Calibri"/>
        <family val="2"/>
        <scheme val="minor"/>
      </rPr>
      <t>)</t>
    </r>
    <r>
      <rPr>
        <b/>
        <vertAlign val="subscript"/>
        <sz val="11"/>
        <color theme="0"/>
        <rFont val="Calibri"/>
        <family val="2"/>
        <scheme val="minor"/>
      </rPr>
      <t>(1-z)</t>
    </r>
    <r>
      <rPr>
        <b/>
        <sz val="11"/>
        <color theme="0"/>
        <rFont val="Calibri"/>
        <family val="2"/>
        <scheme val="minor"/>
      </rPr>
      <t>Cu</t>
    </r>
    <r>
      <rPr>
        <b/>
        <vertAlign val="subscript"/>
        <sz val="11"/>
        <color theme="0"/>
        <rFont val="Calibri"/>
        <family val="2"/>
        <scheme val="minor"/>
      </rPr>
      <t>z</t>
    </r>
  </si>
  <si>
    <t>aPdxAgy(FCC)</t>
  </si>
  <si>
    <r>
      <t>X</t>
    </r>
    <r>
      <rPr>
        <vertAlign val="subscript"/>
        <sz val="11"/>
        <color theme="0"/>
        <rFont val="Calibri"/>
        <family val="2"/>
        <scheme val="minor"/>
      </rPr>
      <t>Pd</t>
    </r>
    <r>
      <rPr>
        <sz val="11"/>
        <color theme="0"/>
        <rFont val="Calibri"/>
        <family val="2"/>
        <scheme val="minor"/>
      </rPr>
      <t>/(1-X</t>
    </r>
    <r>
      <rPr>
        <vertAlign val="subscript"/>
        <sz val="11"/>
        <color theme="0"/>
        <rFont val="Calibri"/>
        <family val="2"/>
        <scheme val="minor"/>
      </rPr>
      <t>Cu</t>
    </r>
    <r>
      <rPr>
        <sz val="11"/>
        <color theme="0"/>
        <rFont val="Calibri"/>
        <family val="2"/>
        <scheme val="minor"/>
      </rPr>
      <t>/100)</t>
    </r>
  </si>
  <si>
    <r>
      <t>X</t>
    </r>
    <r>
      <rPr>
        <vertAlign val="subscript"/>
        <sz val="11"/>
        <color theme="0"/>
        <rFont val="Calibri"/>
        <family val="2"/>
        <scheme val="minor"/>
      </rPr>
      <t>Ag</t>
    </r>
    <r>
      <rPr>
        <sz val="11"/>
        <color theme="0"/>
        <rFont val="Calibri"/>
        <family val="2"/>
        <scheme val="minor"/>
      </rPr>
      <t>/(1-X</t>
    </r>
    <r>
      <rPr>
        <vertAlign val="subscript"/>
        <sz val="11"/>
        <color theme="0"/>
        <rFont val="Calibri"/>
        <family val="2"/>
        <scheme val="minor"/>
      </rPr>
      <t>Cu</t>
    </r>
    <r>
      <rPr>
        <sz val="11"/>
        <color theme="0"/>
        <rFont val="Calibri"/>
        <family val="2"/>
        <scheme val="minor"/>
      </rPr>
      <t>/100)</t>
    </r>
  </si>
  <si>
    <t>(1-XCu)</t>
  </si>
  <si>
    <t>aCu</t>
  </si>
  <si>
    <t>Pd58.0Cu29.0Ag13.0</t>
  </si>
  <si>
    <t>Pd65.0Cu21.0Ag14.0</t>
  </si>
  <si>
    <t>(Peters et al. 2011)</t>
  </si>
  <si>
    <t>https://doi.org/10.1016/j.memsci.2011.08.050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</si>
</sst>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1F1F1F"/>
      <name val="Georgia"/>
      <family val="1"/>
    </font>
    <font>
      <sz val="12"/>
      <color rgb="FF1F1F1F"/>
      <name val="Georgia"/>
      <family val="1"/>
    </font>
    <font>
      <sz val="9.25"/>
      <color theme="1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vertAlign val="subscript"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20"/>
      <color theme="1"/>
      <name val="Yu Gothic"/>
      <family val="2"/>
    </font>
    <font>
      <b/>
      <vertAlign val="subscript"/>
      <sz val="11"/>
      <color theme="0"/>
      <name val="Calibri"/>
      <family val="2"/>
      <scheme val="minor"/>
    </font>
    <font>
      <b/>
      <i/>
      <sz val="12"/>
      <color theme="0"/>
      <name val="Yu Gothic"/>
      <family val="2"/>
    </font>
    <font>
      <sz val="12"/>
      <color theme="1"/>
      <name val="Yu Gothic"/>
      <family val="2"/>
    </font>
    <font>
      <b/>
      <i/>
      <vertAlign val="subscript"/>
      <sz val="12"/>
      <color theme="0"/>
      <name val="Yu Gothic"/>
      <family val="2"/>
    </font>
    <font>
      <i/>
      <sz val="12"/>
      <color theme="1"/>
      <name val="Yu Gothic"/>
      <family val="2"/>
    </font>
    <font>
      <sz val="12"/>
      <color rgb="FF151515"/>
      <name val="Arial"/>
      <family val="2"/>
    </font>
    <font>
      <i/>
      <vertAlign val="sub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Arial"/>
      <family val="2"/>
    </font>
    <font>
      <vertAlign val="subscript"/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34998626667073579"/>
        <bgColor theme="0" tint="-0.34998626667073579"/>
      </patternFill>
    </fill>
  </fills>
  <borders count="2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 style="thin">
        <color theme="1"/>
      </left>
      <right/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6" applyNumberFormat="0" applyAlignment="0" applyProtection="0"/>
    <xf numFmtId="0" fontId="16" fillId="7" borderId="7" applyNumberFormat="0" applyAlignment="0" applyProtection="0"/>
    <xf numFmtId="0" fontId="17" fillId="7" borderId="6" applyNumberFormat="0" applyAlignment="0" applyProtection="0"/>
    <xf numFmtId="0" fontId="18" fillId="0" borderId="8" applyNumberFormat="0" applyFill="0" applyAlignment="0" applyProtection="0"/>
    <xf numFmtId="0" fontId="1" fillId="8" borderId="9" applyNumberFormat="0" applyAlignment="0" applyProtection="0"/>
    <xf numFmtId="0" fontId="19" fillId="0" borderId="0" applyNumberFormat="0" applyFill="0" applyBorder="0" applyAlignment="0" applyProtection="0"/>
    <xf numFmtId="0" fontId="7" fillId="9" borderId="10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11" applyNumberFormat="0" applyFill="0" applyAlignment="0" applyProtection="0"/>
    <xf numFmtId="0" fontId="22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22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22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22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22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22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</cellStyleXfs>
  <cellXfs count="37">
    <xf numFmtId="0" fontId="0" fillId="0" borderId="0" xfId="0"/>
    <xf numFmtId="0" fontId="2" fillId="0" borderId="0" xfId="1"/>
    <xf numFmtId="0" fontId="0" fillId="0" borderId="1" xfId="0" applyBorder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1" fillId="2" borderId="2" xfId="0" applyFont="1" applyFill="1" applyBorder="1"/>
    <xf numFmtId="0" fontId="2" fillId="0" borderId="1" xfId="1" applyBorder="1"/>
    <xf numFmtId="0" fontId="0" fillId="34" borderId="12" xfId="0" applyFill="1" applyBorder="1"/>
    <xf numFmtId="0" fontId="0" fillId="0" borderId="12" xfId="0" applyBorder="1"/>
    <xf numFmtId="0" fontId="1" fillId="2" borderId="13" xfId="0" applyFont="1" applyFill="1" applyBorder="1"/>
    <xf numFmtId="0" fontId="0" fillId="34" borderId="1" xfId="0" applyFill="1" applyBorder="1"/>
    <xf numFmtId="0" fontId="0" fillId="35" borderId="14" xfId="0" applyFill="1" applyBorder="1"/>
    <xf numFmtId="0" fontId="29" fillId="2" borderId="16" xfId="0" applyFont="1" applyFill="1" applyBorder="1"/>
    <xf numFmtId="0" fontId="29" fillId="2" borderId="17" xfId="0" applyFont="1" applyFill="1" applyBorder="1"/>
    <xf numFmtId="0" fontId="29" fillId="2" borderId="15" xfId="0" applyFont="1" applyFill="1" applyBorder="1"/>
    <xf numFmtId="0" fontId="32" fillId="0" borderId="0" xfId="0" applyFont="1"/>
    <xf numFmtId="0" fontId="23" fillId="0" borderId="0" xfId="0" applyFont="1"/>
    <xf numFmtId="0" fontId="1" fillId="2" borderId="19" xfId="0" applyFont="1" applyFill="1" applyBorder="1"/>
    <xf numFmtId="0" fontId="1" fillId="2" borderId="18" xfId="0" applyFont="1" applyFill="1" applyBorder="1"/>
    <xf numFmtId="0" fontId="30" fillId="0" borderId="0" xfId="0" applyFont="1"/>
    <xf numFmtId="0" fontId="33" fillId="0" borderId="0" xfId="0" applyFont="1"/>
    <xf numFmtId="0" fontId="0" fillId="34" borderId="20" xfId="0" applyFill="1" applyBorder="1"/>
    <xf numFmtId="0" fontId="0" fillId="34" borderId="22" xfId="0" applyFill="1" applyBorder="1"/>
    <xf numFmtId="0" fontId="0" fillId="34" borderId="18" xfId="0" applyFill="1" applyBorder="1"/>
    <xf numFmtId="0" fontId="22" fillId="2" borderId="2" xfId="0" applyFont="1" applyFill="1" applyBorder="1"/>
    <xf numFmtId="0" fontId="1" fillId="2" borderId="21" xfId="0" applyFont="1" applyFill="1" applyBorder="1"/>
    <xf numFmtId="0" fontId="35" fillId="0" borderId="0" xfId="0" applyFont="1"/>
    <xf numFmtId="0" fontId="35" fillId="35" borderId="14" xfId="0" applyFont="1" applyFill="1" applyBorder="1"/>
    <xf numFmtId="0" fontId="36" fillId="0" borderId="0" xfId="0" applyFont="1"/>
    <xf numFmtId="0" fontId="23" fillId="35" borderId="14" xfId="0" applyFont="1" applyFill="1" applyBorder="1"/>
    <xf numFmtId="0" fontId="36" fillId="35" borderId="14" xfId="0" applyFont="1" applyFill="1" applyBorder="1"/>
    <xf numFmtId="0" fontId="36" fillId="35" borderId="23" xfId="0" applyFont="1" applyFill="1" applyBorder="1"/>
    <xf numFmtId="0" fontId="37" fillId="0" borderId="0" xfId="0" applyFont="1"/>
    <xf numFmtId="0" fontId="0" fillId="0" borderId="0" xfId="0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2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0" tint="-0.34998626667073579"/>
          <bgColor theme="0" tint="-0.34998626667073579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theme="0" tint="-0.34998626667073579"/>
          <bgColor theme="0" tint="-0.34998626667073579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/>
        <top style="thin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border outline="0">
        <right style="thin">
          <color theme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/>
        <top style="thin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/>
        <top style="thin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border outline="0">
        <right style="thin">
          <color theme="1"/>
        </right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/>
        <top style="thin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border outline="0">
        <right style="thin">
          <color theme="1"/>
        </right>
        <top style="medium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51515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34998626667073579"/>
          <bgColor theme="0" tint="-0.34998626667073579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eorgia"/>
        <family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eorgia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Lattice parameter of fcc PdFe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">
                <a:solidFill>
                  <a:srgbClr val="7030A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8216535433070864E-2"/>
                  <c:y val="-0.320336103820355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Sheet1!$A$3:$A$24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0.3</c:v>
                </c:pt>
                <c:pt idx="4">
                  <c:v>0.6</c:v>
                </c:pt>
                <c:pt idx="5">
                  <c:v>1</c:v>
                </c:pt>
                <c:pt idx="6">
                  <c:v>1.7999999999999998</c:v>
                </c:pt>
                <c:pt idx="7">
                  <c:v>2.8000000000000003</c:v>
                </c:pt>
                <c:pt idx="8">
                  <c:v>3.6999999999999997</c:v>
                </c:pt>
                <c:pt idx="9">
                  <c:v>3.1</c:v>
                </c:pt>
                <c:pt idx="10">
                  <c:v>6.2</c:v>
                </c:pt>
                <c:pt idx="11">
                  <c:v>9</c:v>
                </c:pt>
                <c:pt idx="12">
                  <c:v>12</c:v>
                </c:pt>
                <c:pt idx="13">
                  <c:v>15</c:v>
                </c:pt>
                <c:pt idx="14">
                  <c:v>65.599999999999994</c:v>
                </c:pt>
                <c:pt idx="15">
                  <c:v>60.5</c:v>
                </c:pt>
                <c:pt idx="16">
                  <c:v>48.1</c:v>
                </c:pt>
                <c:pt idx="17">
                  <c:v>40.200000000000003</c:v>
                </c:pt>
                <c:pt idx="18">
                  <c:v>29.799999999999997</c:v>
                </c:pt>
                <c:pt idx="19">
                  <c:v>27.599999999999994</c:v>
                </c:pt>
                <c:pt idx="20">
                  <c:v>23.400000000000006</c:v>
                </c:pt>
                <c:pt idx="21">
                  <c:v>12.700000000000003</c:v>
                </c:pt>
              </c:numCache>
            </c:numRef>
          </c:xVal>
          <c:yVal>
            <c:numRef>
              <c:f>Sheet1!$B$3:$B$24</c:f>
              <c:numCache>
                <c:formatCode>General</c:formatCode>
                <c:ptCount val="22"/>
                <c:pt idx="0">
                  <c:v>0.38827</c:v>
                </c:pt>
                <c:pt idx="1">
                  <c:v>0.38900000000000001</c:v>
                </c:pt>
                <c:pt idx="2">
                  <c:v>0.38940000000000002</c:v>
                </c:pt>
                <c:pt idx="3">
                  <c:v>0.38947999999999999</c:v>
                </c:pt>
                <c:pt idx="4">
                  <c:v>0.38944000000000001</c:v>
                </c:pt>
                <c:pt idx="5">
                  <c:v>0.38933000000000001</c:v>
                </c:pt>
                <c:pt idx="6">
                  <c:v>0.38906999999999997</c:v>
                </c:pt>
                <c:pt idx="7">
                  <c:v>0.38895000000000002</c:v>
                </c:pt>
                <c:pt idx="8">
                  <c:v>0.38873000000000002</c:v>
                </c:pt>
                <c:pt idx="9">
                  <c:v>0.3886</c:v>
                </c:pt>
                <c:pt idx="10">
                  <c:v>0.3881</c:v>
                </c:pt>
                <c:pt idx="11">
                  <c:v>0.38779999999999998</c:v>
                </c:pt>
                <c:pt idx="12">
                  <c:v>0.38729999999999998</c:v>
                </c:pt>
                <c:pt idx="13">
                  <c:v>0.3871</c:v>
                </c:pt>
                <c:pt idx="14">
                  <c:v>0.37568000000000001</c:v>
                </c:pt>
                <c:pt idx="15">
                  <c:v>0.37746000000000002</c:v>
                </c:pt>
                <c:pt idx="16">
                  <c:v>0.38014999999999999</c:v>
                </c:pt>
                <c:pt idx="17">
                  <c:v>0.38177</c:v>
                </c:pt>
                <c:pt idx="18">
                  <c:v>0.38367000000000001</c:v>
                </c:pt>
                <c:pt idx="19">
                  <c:v>0.38419999999999999</c:v>
                </c:pt>
                <c:pt idx="20">
                  <c:v>0.38496000000000002</c:v>
                </c:pt>
                <c:pt idx="21">
                  <c:v>0.38625999999999999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A7-4922-A9DB-6EA0E8E3F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719168"/>
        <c:axId val="693719528"/>
      </c:scatterChart>
      <c:valAx>
        <c:axId val="693719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Atomic percent (at.%) Fe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19528"/>
        <c:crosses val="autoZero"/>
        <c:crossBetween val="midCat"/>
      </c:valAx>
      <c:valAx>
        <c:axId val="693719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Lattice</a:t>
                </a:r>
                <a:r>
                  <a:rPr lang="en-US" b="1" baseline="0">
                    <a:solidFill>
                      <a:schemeClr val="tx1"/>
                    </a:solidFill>
                  </a:rPr>
                  <a:t> parameter (nm)</a:t>
                </a:r>
                <a:endParaRPr lang="en-US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19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Yu Gothic" panose="020B0400000000000000" pitchFamily="34" charset="-128"/>
                <a:ea typeface="Yu Gothic" panose="020B0400000000000000" pitchFamily="34" charset="-128"/>
              </a:rPr>
              <a:t>Palladium Platinum alloys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Palladium Platinum alloys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Yu Gothic" panose="020B0400000000000000" pitchFamily="34" charset="-128"/>
                      <a:ea typeface="Yu Gothic" panose="020B0400000000000000" pitchFamily="34" charset="-128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Sheet1!$A$34:$A$38</c:f>
              <c:numCache>
                <c:formatCode>General</c:formatCode>
                <c:ptCount val="5"/>
                <c:pt idx="0">
                  <c:v>0</c:v>
                </c:pt>
                <c:pt idx="1">
                  <c:v>2.79</c:v>
                </c:pt>
                <c:pt idx="2">
                  <c:v>5.73</c:v>
                </c:pt>
                <c:pt idx="3">
                  <c:v>8.8000000000000007</c:v>
                </c:pt>
                <c:pt idx="4">
                  <c:v>12.03</c:v>
                </c:pt>
              </c:numCache>
            </c:numRef>
          </c:xVal>
          <c:yVal>
            <c:numRef>
              <c:f>Sheet1!$B$34:$B$38</c:f>
              <c:numCache>
                <c:formatCode>General</c:formatCode>
                <c:ptCount val="5"/>
                <c:pt idx="0">
                  <c:v>0.38889999999999997</c:v>
                </c:pt>
                <c:pt idx="1">
                  <c:v>0.38900000000000001</c:v>
                </c:pt>
                <c:pt idx="2">
                  <c:v>0.3891</c:v>
                </c:pt>
                <c:pt idx="3">
                  <c:v>0.38919999999999999</c:v>
                </c:pt>
                <c:pt idx="4">
                  <c:v>0.38929999999999998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0D-4553-B5C7-0D1814E88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946888"/>
        <c:axId val="705944728"/>
      </c:scatterChart>
      <c:valAx>
        <c:axId val="70594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</a:rPr>
                  <a:t>Atomic percent (at.%) Platinum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Yu Gothic" panose="020B0400000000000000" pitchFamily="34" charset="-128"/>
                  <a:ea typeface="Yu Gothic" panose="020B0400000000000000" pitchFamily="34" charset="-128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944728"/>
        <c:crosses val="autoZero"/>
        <c:crossBetween val="midCat"/>
      </c:valAx>
      <c:valAx>
        <c:axId val="70594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</a:rPr>
                  <a:t>Lattice</a:t>
                </a:r>
                <a:r>
                  <a:rPr lang="en-US" b="1" baseline="0">
                    <a:solidFill>
                      <a:sysClr val="windowText" lastClr="000000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</a:rPr>
                  <a:t> paramater (nm)</a:t>
                </a:r>
                <a:endParaRPr lang="en-US" b="1">
                  <a:solidFill>
                    <a:sysClr val="windowText" lastClr="000000"/>
                  </a:solidFill>
                  <a:latin typeface="Yu Gothic" panose="020B0400000000000000" pitchFamily="34" charset="-128"/>
                  <a:ea typeface="Yu Gothic" panose="020B0400000000000000" pitchFamily="34" charset="-128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Yu Gothic" panose="020B0400000000000000" pitchFamily="34" charset="-128"/>
                  <a:ea typeface="Yu Gothic" panose="020B0400000000000000" pitchFamily="34" charset="-128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+mn-cs"/>
              </a:defRPr>
            </a:pPr>
            <a:endParaRPr lang="en-US"/>
          </a:p>
        </c:txPr>
        <c:crossAx val="705946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FF0000"/>
                </a:solidFill>
                <a:latin typeface="Yu Gothic" panose="020B0400000000000000" pitchFamily="34" charset="-128"/>
                <a:ea typeface="Yu Gothic" panose="020B0400000000000000" pitchFamily="34" charset="-128"/>
              </a:rPr>
              <a:t>fcc Pd</a:t>
            </a:r>
            <a:r>
              <a:rPr lang="en-US" sz="1200" b="1" baseline="0">
                <a:solidFill>
                  <a:srgbClr val="FF0000"/>
                </a:solidFill>
                <a:latin typeface="Yu Gothic" panose="020B0400000000000000" pitchFamily="34" charset="-128"/>
                <a:ea typeface="Yu Gothic" panose="020B0400000000000000" pitchFamily="34" charset="-128"/>
              </a:rPr>
              <a:t>Ru lattice parameter </a:t>
            </a:r>
            <a:endParaRPr lang="en-US" sz="1200" b="1">
              <a:solidFill>
                <a:srgbClr val="FF0000"/>
              </a:solidFill>
              <a:latin typeface="Yu Gothic" panose="020B0400000000000000" pitchFamily="34" charset="-128"/>
              <a:ea typeface="Yu Gothic" panose="020B0400000000000000" pitchFamily="34" charset="-12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3153762029746277E-2"/>
                  <c:y val="-0.3007553230197864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ysClr val="windowText" lastClr="000000"/>
                        </a:solidFill>
                        <a:latin typeface="Yu Gothic" panose="020B0400000000000000" pitchFamily="34" charset="-128"/>
                        <a:ea typeface="Yu Gothic" panose="020B0400000000000000" pitchFamily="34" charset="-128"/>
                        <a:cs typeface="+mn-cs"/>
                      </a:defRPr>
                    </a:pPr>
                    <a:r>
                      <a:rPr lang="en-US" sz="1200" b="1" baseline="0">
                        <a:solidFill>
                          <a:sysClr val="windowText" lastClr="000000"/>
                        </a:solidFill>
                        <a:latin typeface="Yu Gothic" panose="020B0400000000000000" pitchFamily="34" charset="-128"/>
                        <a:ea typeface="Yu Gothic" panose="020B0400000000000000" pitchFamily="34" charset="-128"/>
                      </a:rPr>
                      <a:t>y = -0.0001</a:t>
                    </a:r>
                    <a:r>
                      <a:rPr lang="en-US" sz="1200" b="1" i="1" baseline="0">
                        <a:solidFill>
                          <a:sysClr val="windowText" lastClr="000000"/>
                        </a:solidFill>
                        <a:latin typeface="Yu Gothic" panose="020B0400000000000000" pitchFamily="34" charset="-128"/>
                        <a:ea typeface="Yu Gothic" panose="020B0400000000000000" pitchFamily="34" charset="-128"/>
                      </a:rPr>
                      <a:t>x</a:t>
                    </a:r>
                    <a:r>
                      <a:rPr lang="en-US" sz="1200" b="1" baseline="0">
                        <a:solidFill>
                          <a:sysClr val="windowText" lastClr="000000"/>
                        </a:solidFill>
                        <a:latin typeface="Yu Gothic" panose="020B0400000000000000" pitchFamily="34" charset="-128"/>
                        <a:ea typeface="Yu Gothic" panose="020B0400000000000000" pitchFamily="34" charset="-128"/>
                      </a:rPr>
                      <a:t> + 0.3891</a:t>
                    </a:r>
                    <a:br>
                      <a:rPr lang="en-US" sz="1200" b="1" baseline="0">
                        <a:solidFill>
                          <a:sysClr val="windowText" lastClr="000000"/>
                        </a:solidFill>
                        <a:latin typeface="Yu Gothic" panose="020B0400000000000000" pitchFamily="34" charset="-128"/>
                        <a:ea typeface="Yu Gothic" panose="020B0400000000000000" pitchFamily="34" charset="-128"/>
                      </a:rPr>
                    </a:br>
                    <a:r>
                      <a:rPr lang="en-US" sz="1200" b="1" baseline="0">
                        <a:solidFill>
                          <a:sysClr val="windowText" lastClr="000000"/>
                        </a:solidFill>
                        <a:latin typeface="Yu Gothic" panose="020B0400000000000000" pitchFamily="34" charset="-128"/>
                        <a:ea typeface="Yu Gothic" panose="020B0400000000000000" pitchFamily="34" charset="-128"/>
                      </a:rPr>
                      <a:t>R² = 0.9539</a:t>
                    </a:r>
                    <a:endParaRPr lang="en-US" sz="1200" b="1">
                      <a:solidFill>
                        <a:sysClr val="windowText" lastClr="000000"/>
                      </a:solidFill>
                      <a:latin typeface="Yu Gothic" panose="020B0400000000000000" pitchFamily="34" charset="-128"/>
                      <a:ea typeface="Yu Gothic" panose="020B0400000000000000" pitchFamily="34" charset="-128"/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Yu Gothic" panose="020B0400000000000000" pitchFamily="34" charset="-128"/>
                      <a:ea typeface="Yu Gothic" panose="020B0400000000000000" pitchFamily="34" charset="-128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Sheet1!$A$67:$A$80</c:f>
              <c:numCache>
                <c:formatCode>General</c:formatCode>
                <c:ptCount val="14"/>
                <c:pt idx="0">
                  <c:v>1.25</c:v>
                </c:pt>
                <c:pt idx="1">
                  <c:v>2.5</c:v>
                </c:pt>
                <c:pt idx="2">
                  <c:v>3.75</c:v>
                </c:pt>
                <c:pt idx="3">
                  <c:v>5</c:v>
                </c:pt>
                <c:pt idx="4">
                  <c:v>6.25</c:v>
                </c:pt>
                <c:pt idx="5">
                  <c:v>5.6</c:v>
                </c:pt>
                <c:pt idx="6">
                  <c:v>8.4</c:v>
                </c:pt>
                <c:pt idx="7">
                  <c:v>12.4</c:v>
                </c:pt>
                <c:pt idx="8">
                  <c:v>17.899999999999999</c:v>
                </c:pt>
                <c:pt idx="9">
                  <c:v>0</c:v>
                </c:pt>
                <c:pt idx="10">
                  <c:v>0.64086590448283798</c:v>
                </c:pt>
                <c:pt idx="11">
                  <c:v>1.6631833047370401</c:v>
                </c:pt>
                <c:pt idx="12">
                  <c:v>2.6255101029775298</c:v>
                </c:pt>
                <c:pt idx="13">
                  <c:v>0</c:v>
                </c:pt>
              </c:numCache>
            </c:numRef>
          </c:xVal>
          <c:yVal>
            <c:numRef>
              <c:f>Sheet1!$B$67:$B$80</c:f>
              <c:numCache>
                <c:formatCode>General</c:formatCode>
                <c:ptCount val="14"/>
                <c:pt idx="0">
                  <c:v>0.38890000000000002</c:v>
                </c:pt>
                <c:pt idx="1">
                  <c:v>0.38869999999999999</c:v>
                </c:pt>
                <c:pt idx="2">
                  <c:v>0.3886</c:v>
                </c:pt>
                <c:pt idx="3">
                  <c:v>0.38869999999999999</c:v>
                </c:pt>
                <c:pt idx="4">
                  <c:v>0.3886</c:v>
                </c:pt>
                <c:pt idx="5">
                  <c:v>0.38869999999999999</c:v>
                </c:pt>
                <c:pt idx="6">
                  <c:v>0.38800000000000001</c:v>
                </c:pt>
                <c:pt idx="7">
                  <c:v>0.38769999999999999</c:v>
                </c:pt>
                <c:pt idx="8">
                  <c:v>0.3871</c:v>
                </c:pt>
                <c:pt idx="9">
                  <c:v>0.38900000000000001</c:v>
                </c:pt>
                <c:pt idx="10">
                  <c:v>0.38904748833291197</c:v>
                </c:pt>
                <c:pt idx="11">
                  <c:v>0.38896233361546101</c:v>
                </c:pt>
                <c:pt idx="12">
                  <c:v>0.38891138941495196</c:v>
                </c:pt>
                <c:pt idx="13">
                  <c:v>0.38900000000000001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B7-47C0-8411-AE44F7910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552600"/>
        <c:axId val="725551520"/>
      </c:scatterChart>
      <c:valAx>
        <c:axId val="725552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  <a:cs typeface="+mn-cs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</a:rPr>
                  <a:t>Atomic percentage</a:t>
                </a:r>
                <a:r>
                  <a:rPr lang="en-US" sz="1200" b="1" baseline="0">
                    <a:solidFill>
                      <a:sysClr val="windowText" lastClr="000000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</a:rPr>
                  <a:t> (at.%) Ru</a:t>
                </a:r>
                <a:endParaRPr lang="en-US" sz="1200" b="1">
                  <a:solidFill>
                    <a:sysClr val="windowText" lastClr="000000"/>
                  </a:solidFill>
                  <a:latin typeface="Yu Gothic" panose="020B0400000000000000" pitchFamily="34" charset="-128"/>
                  <a:ea typeface="Yu Gothic" panose="020B0400000000000000" pitchFamily="34" charset="-128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Yu Gothic" panose="020B0400000000000000" pitchFamily="34" charset="-128"/>
                  <a:ea typeface="Yu Gothic" panose="020B0400000000000000" pitchFamily="34" charset="-128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+mn-cs"/>
              </a:defRPr>
            </a:pPr>
            <a:endParaRPr lang="en-US"/>
          </a:p>
        </c:txPr>
        <c:crossAx val="725551520"/>
        <c:crosses val="autoZero"/>
        <c:crossBetween val="midCat"/>
      </c:valAx>
      <c:valAx>
        <c:axId val="72555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</a:rPr>
                  <a:t>Lattice parameter</a:t>
                </a:r>
                <a:r>
                  <a:rPr lang="en-US" sz="1050" b="1" baseline="0">
                    <a:solidFill>
                      <a:sysClr val="windowText" lastClr="000000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</a:rPr>
                  <a:t> (nm)</a:t>
                </a:r>
                <a:endParaRPr lang="en-US" sz="1050" b="1">
                  <a:solidFill>
                    <a:sysClr val="windowText" lastClr="000000"/>
                  </a:solidFill>
                  <a:latin typeface="Yu Gothic" panose="020B0400000000000000" pitchFamily="34" charset="-128"/>
                  <a:ea typeface="Yu Gothic" panose="020B0400000000000000" pitchFamily="34" charset="-128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Yu Gothic" panose="020B0400000000000000" pitchFamily="34" charset="-128"/>
                  <a:ea typeface="Yu Gothic" panose="020B0400000000000000" pitchFamily="34" charset="-128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+mn-cs"/>
              </a:defRPr>
            </a:pPr>
            <a:endParaRPr lang="en-US"/>
          </a:p>
        </c:txPr>
        <c:crossAx val="725552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Palladium Nickel</a:t>
            </a:r>
            <a:r>
              <a:rPr lang="en-US" baseline="0">
                <a:solidFill>
                  <a:srgbClr val="FF0000"/>
                </a:solidFill>
              </a:rPr>
              <a:t> continuous solid solution</a:t>
            </a:r>
            <a:endParaRPr lang="en-US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039851268591426"/>
                  <c:y val="-0.397447142023913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Yu Gothic" panose="020B0400000000000000" pitchFamily="34" charset="-128"/>
                      <a:ea typeface="Yu Gothic" panose="020B0400000000000000" pitchFamily="34" charset="-128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Sheet1!$B$83:$B$103</c:f>
              <c:numCache>
                <c:formatCode>General</c:formatCode>
                <c:ptCount val="21"/>
                <c:pt idx="0">
                  <c:v>100</c:v>
                </c:pt>
                <c:pt idx="1">
                  <c:v>88.8</c:v>
                </c:pt>
                <c:pt idx="2">
                  <c:v>88.3</c:v>
                </c:pt>
                <c:pt idx="3">
                  <c:v>84.3</c:v>
                </c:pt>
                <c:pt idx="4">
                  <c:v>74.7</c:v>
                </c:pt>
                <c:pt idx="5">
                  <c:v>65.5</c:v>
                </c:pt>
                <c:pt idx="6">
                  <c:v>60</c:v>
                </c:pt>
                <c:pt idx="7">
                  <c:v>52.2</c:v>
                </c:pt>
                <c:pt idx="8">
                  <c:v>50.3</c:v>
                </c:pt>
                <c:pt idx="9">
                  <c:v>39.9</c:v>
                </c:pt>
                <c:pt idx="10">
                  <c:v>35.799999999999997</c:v>
                </c:pt>
                <c:pt idx="11">
                  <c:v>35.700000000000003</c:v>
                </c:pt>
                <c:pt idx="12">
                  <c:v>22.099999999999994</c:v>
                </c:pt>
                <c:pt idx="13">
                  <c:v>14</c:v>
                </c:pt>
                <c:pt idx="14">
                  <c:v>0</c:v>
                </c:pt>
                <c:pt idx="15">
                  <c:v>0</c:v>
                </c:pt>
                <c:pt idx="16">
                  <c:v>5</c:v>
                </c:pt>
                <c:pt idx="17">
                  <c:v>9.6</c:v>
                </c:pt>
                <c:pt idx="18">
                  <c:v>15</c:v>
                </c:pt>
                <c:pt idx="19">
                  <c:v>20</c:v>
                </c:pt>
                <c:pt idx="20">
                  <c:v>30.1</c:v>
                </c:pt>
              </c:numCache>
            </c:numRef>
          </c:xVal>
          <c:yVal>
            <c:numRef>
              <c:f>Sheet1!$C$83:$C$103</c:f>
              <c:numCache>
                <c:formatCode>General</c:formatCode>
                <c:ptCount val="21"/>
                <c:pt idx="0">
                  <c:v>0.35167999999999999</c:v>
                </c:pt>
                <c:pt idx="1">
                  <c:v>0.35699000000000003</c:v>
                </c:pt>
                <c:pt idx="2">
                  <c:v>0.35750000000000004</c:v>
                </c:pt>
                <c:pt idx="3">
                  <c:v>0.35897000000000001</c:v>
                </c:pt>
                <c:pt idx="4">
                  <c:v>0.36345</c:v>
                </c:pt>
                <c:pt idx="5">
                  <c:v>0.36779000000000001</c:v>
                </c:pt>
                <c:pt idx="6">
                  <c:v>0.36920000000000003</c:v>
                </c:pt>
                <c:pt idx="7">
                  <c:v>0.37273999999999996</c:v>
                </c:pt>
                <c:pt idx="8">
                  <c:v>0.37302000000000002</c:v>
                </c:pt>
                <c:pt idx="9">
                  <c:v>0.37667</c:v>
                </c:pt>
                <c:pt idx="10">
                  <c:v>0.37806000000000001</c:v>
                </c:pt>
                <c:pt idx="11">
                  <c:v>0.37795999999999996</c:v>
                </c:pt>
                <c:pt idx="12">
                  <c:v>0.38296000000000002</c:v>
                </c:pt>
                <c:pt idx="13">
                  <c:v>0.38558999999999999</c:v>
                </c:pt>
                <c:pt idx="14">
                  <c:v>0.38827</c:v>
                </c:pt>
                <c:pt idx="15">
                  <c:v>0.38900000000000001</c:v>
                </c:pt>
                <c:pt idx="16">
                  <c:v>0.38779999999999998</c:v>
                </c:pt>
                <c:pt idx="17">
                  <c:v>0.3866</c:v>
                </c:pt>
                <c:pt idx="18">
                  <c:v>0.38540000000000002</c:v>
                </c:pt>
                <c:pt idx="19">
                  <c:v>0.3836</c:v>
                </c:pt>
                <c:pt idx="20">
                  <c:v>0.38069999999999998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35-4AA1-8A72-FD92BF173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941848"/>
        <c:axId val="705946888"/>
      </c:scatterChart>
      <c:valAx>
        <c:axId val="705941848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</a:rPr>
                  <a:t>Atomic percent (at.%) 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Yu Gothic" panose="020B0400000000000000" pitchFamily="34" charset="-128"/>
                  <a:ea typeface="Yu Gothic" panose="020B0400000000000000" pitchFamily="34" charset="-128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946888"/>
        <c:crosses val="autoZero"/>
        <c:crossBetween val="midCat"/>
      </c:valAx>
      <c:valAx>
        <c:axId val="705946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</a:rPr>
                  <a:t>Lattice parameter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Yu Gothic" panose="020B0400000000000000" pitchFamily="34" charset="-128"/>
                  <a:ea typeface="Yu Gothic" panose="020B0400000000000000" pitchFamily="34" charset="-128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+mn-cs"/>
              </a:defRPr>
            </a:pPr>
            <a:endParaRPr lang="en-US"/>
          </a:p>
        </c:txPr>
        <c:crossAx val="705941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  <a:latin typeface="Yu Gothic" panose="020B0400000000000000" pitchFamily="34" charset="-128"/>
                <a:ea typeface="Yu Gothic" panose="020B0400000000000000" pitchFamily="34" charset="-128"/>
              </a:rPr>
              <a:t>Lattice parameter</a:t>
            </a:r>
            <a:r>
              <a:rPr lang="en-US" b="1" baseline="0">
                <a:solidFill>
                  <a:srgbClr val="FF0000"/>
                </a:solidFill>
                <a:latin typeface="Yu Gothic" panose="020B0400000000000000" pitchFamily="34" charset="-128"/>
                <a:ea typeface="Yu Gothic" panose="020B0400000000000000" pitchFamily="34" charset="-128"/>
              </a:rPr>
              <a:t> of fcc PdRh alloys</a:t>
            </a:r>
            <a:endParaRPr lang="en-US" b="1">
              <a:solidFill>
                <a:srgbClr val="FF0000"/>
              </a:solidFill>
              <a:latin typeface="Yu Gothic" panose="020B0400000000000000" pitchFamily="34" charset="-128"/>
              <a:ea typeface="Yu Gothic" panose="020B0400000000000000" pitchFamily="34" charset="-12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731714785651793"/>
                  <c:y val="-0.2754760863225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Yu Gothic" panose="020B0400000000000000" pitchFamily="34" charset="-128"/>
                      <a:ea typeface="Yu Gothic" panose="020B0400000000000000" pitchFamily="34" charset="-128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Sheet1!$A$109:$A$114</c:f>
              <c:numCache>
                <c:formatCode>General</c:formatCode>
                <c:ptCount val="6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</c:numCache>
            </c:numRef>
          </c:xVal>
          <c:yVal>
            <c:numRef>
              <c:f>Sheet1!$B$109:$B$114</c:f>
              <c:numCache>
                <c:formatCode>General</c:formatCode>
                <c:ptCount val="6"/>
                <c:pt idx="0">
                  <c:v>0.38879999999999998</c:v>
                </c:pt>
                <c:pt idx="1">
                  <c:v>0.3886</c:v>
                </c:pt>
                <c:pt idx="2">
                  <c:v>0.38840000000000002</c:v>
                </c:pt>
                <c:pt idx="3">
                  <c:v>0.38819999999999999</c:v>
                </c:pt>
                <c:pt idx="4">
                  <c:v>0.38779999999999998</c:v>
                </c:pt>
                <c:pt idx="5">
                  <c:v>0.38750000000000001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10-4EB1-A917-CB1CDE06D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557280"/>
        <c:axId val="725555120"/>
      </c:scatterChart>
      <c:valAx>
        <c:axId val="725557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</a:rPr>
                  <a:t>Atomic percent (at.%)</a:t>
                </a:r>
                <a:r>
                  <a:rPr lang="en-US" b="1" baseline="0">
                    <a:solidFill>
                      <a:sysClr val="windowText" lastClr="000000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</a:rPr>
                  <a:t> Rh</a:t>
                </a:r>
                <a:endParaRPr lang="en-US" b="1">
                  <a:solidFill>
                    <a:sysClr val="windowText" lastClr="000000"/>
                  </a:solidFill>
                  <a:latin typeface="Yu Gothic" panose="020B0400000000000000" pitchFamily="34" charset="-128"/>
                  <a:ea typeface="Yu Gothic" panose="020B0400000000000000" pitchFamily="34" charset="-128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555120"/>
        <c:crosses val="autoZero"/>
        <c:crossBetween val="midCat"/>
      </c:valAx>
      <c:valAx>
        <c:axId val="7255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</a:rPr>
                  <a:t>Lattice parameter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557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fcc PdB lattice parameter</a:t>
            </a:r>
            <a:r>
              <a:rPr lang="en-US" b="1" baseline="0">
                <a:solidFill>
                  <a:srgbClr val="FF0000"/>
                </a:solidFill>
              </a:rPr>
              <a:t> (nm)</a:t>
            </a:r>
            <a:endParaRPr lang="en-US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253193350831141"/>
                  <c:y val="-5.0462962962962961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>
                        <a:solidFill>
                          <a:sysClr val="windowText" lastClr="000000"/>
                        </a:solidFill>
                        <a:latin typeface="Yu Gothic" panose="020B0400000000000000" pitchFamily="34" charset="-128"/>
                        <a:ea typeface="Yu Gothic" panose="020B0400000000000000" pitchFamily="34" charset="-128"/>
                      </a:rPr>
                      <a:t>y = 0.0006x + 0.3893</a:t>
                    </a:r>
                    <a:br>
                      <a:rPr lang="en-US" sz="1200" baseline="0">
                        <a:solidFill>
                          <a:sysClr val="windowText" lastClr="000000"/>
                        </a:solidFill>
                        <a:latin typeface="Yu Gothic" panose="020B0400000000000000" pitchFamily="34" charset="-128"/>
                        <a:ea typeface="Yu Gothic" panose="020B0400000000000000" pitchFamily="34" charset="-128"/>
                      </a:rPr>
                    </a:br>
                    <a:r>
                      <a:rPr lang="en-US" sz="1200" baseline="0">
                        <a:solidFill>
                          <a:sysClr val="windowText" lastClr="000000"/>
                        </a:solidFill>
                        <a:latin typeface="Yu Gothic" panose="020B0400000000000000" pitchFamily="34" charset="-128"/>
                        <a:ea typeface="Yu Gothic" panose="020B0400000000000000" pitchFamily="34" charset="-128"/>
                      </a:rPr>
                      <a:t>R² = 0.9933</a:t>
                    </a:r>
                    <a:endParaRPr lang="en-US" sz="1200">
                      <a:solidFill>
                        <a:sysClr val="windowText" lastClr="000000"/>
                      </a:solidFill>
                      <a:latin typeface="Yu Gothic" panose="020B0400000000000000" pitchFamily="34" charset="-128"/>
                      <a:ea typeface="Yu Gothic" panose="020B0400000000000000" pitchFamily="34" charset="-128"/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Sheet1!$A$118:$A$121</c:f>
              <c:numCache>
                <c:formatCode>General</c:formatCode>
                <c:ptCount val="4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</c:numCache>
            </c:numRef>
          </c:xVal>
          <c:yVal>
            <c:numRef>
              <c:f>Sheet1!$B$118:$B$121</c:f>
              <c:numCache>
                <c:formatCode>General</c:formatCode>
                <c:ptCount val="4"/>
                <c:pt idx="0">
                  <c:v>0.39090000000000003</c:v>
                </c:pt>
                <c:pt idx="1">
                  <c:v>0.39229999999999998</c:v>
                </c:pt>
                <c:pt idx="2">
                  <c:v>0.39429999999999998</c:v>
                </c:pt>
                <c:pt idx="3">
                  <c:v>0.39560000000000001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D9-4009-99F5-A6532C169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4563848"/>
        <c:axId val="594565288"/>
      </c:scatterChart>
      <c:valAx>
        <c:axId val="594563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</a:rPr>
                  <a:t>Atomic percentage (st.%) 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Yu Gothic" panose="020B0400000000000000" pitchFamily="34" charset="-128"/>
                  <a:ea typeface="Yu Gothic" panose="020B0400000000000000" pitchFamily="34" charset="-128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565288"/>
        <c:crosses val="autoZero"/>
        <c:crossBetween val="midCat"/>
      </c:valAx>
      <c:valAx>
        <c:axId val="594565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</a:rPr>
                  <a:t>Lattice parameter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Yu Gothic" panose="020B0400000000000000" pitchFamily="34" charset="-128"/>
                  <a:ea typeface="Yu Gothic" panose="020B0400000000000000" pitchFamily="34" charset="-128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+mn-cs"/>
              </a:defRPr>
            </a:pPr>
            <a:endParaRPr lang="en-US"/>
          </a:p>
        </c:txPr>
        <c:crossAx val="594563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0000"/>
              </a:solidFill>
              <a:latin typeface="Yu Gothic" panose="020B0400000000000000" pitchFamily="34" charset="-128"/>
              <a:ea typeface="Yu Gothic" panose="020B0400000000000000" pitchFamily="34" charset="-128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fccPdTi solid solution alloys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819028871391076"/>
                  <c:y val="-0.401165427238261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Yu Gothic" panose="020B0400000000000000" pitchFamily="34" charset="-128"/>
                      <a:ea typeface="Yu Gothic" panose="020B0400000000000000" pitchFamily="34" charset="-128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Sheet1!$A$131:$A$135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Sheet1!$B$131:$B$135</c:f>
              <c:numCache>
                <c:formatCode>General</c:formatCode>
                <c:ptCount val="5"/>
                <c:pt idx="0">
                  <c:v>0.38890000000000002</c:v>
                </c:pt>
                <c:pt idx="1">
                  <c:v>0.38879999999999998</c:v>
                </c:pt>
                <c:pt idx="2">
                  <c:v>0.38879999999999998</c:v>
                </c:pt>
                <c:pt idx="3">
                  <c:v>0.38869999999999999</c:v>
                </c:pt>
                <c:pt idx="4">
                  <c:v>0.38869999999999999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23-4B49-B2A7-D3F75F48E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999208"/>
        <c:axId val="101005328"/>
      </c:scatterChart>
      <c:valAx>
        <c:axId val="100999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</a:rPr>
                  <a:t>Atomic percent (at.%) Ti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Yu Gothic" panose="020B0400000000000000" pitchFamily="34" charset="-128"/>
                  <a:ea typeface="Yu Gothic" panose="020B0400000000000000" pitchFamily="34" charset="-128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05328"/>
        <c:crosses val="autoZero"/>
        <c:crossBetween val="midCat"/>
      </c:valAx>
      <c:valAx>
        <c:axId val="10100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</a:rPr>
                  <a:t>Lattice parameter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Yu Gothic" panose="020B0400000000000000" pitchFamily="34" charset="-128"/>
                  <a:ea typeface="Yu Gothic" panose="020B0400000000000000" pitchFamily="34" charset="-128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99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fcc PdLu solid solid solution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562290020636002"/>
                  <c:y val="0.22356881053783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Yu Gothic" panose="020B0400000000000000" pitchFamily="34" charset="-128"/>
                      <a:ea typeface="Yu Gothic" panose="020B0400000000000000" pitchFamily="34" charset="-128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Sheet1!$A$140:$A$143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xVal>
          <c:yVal>
            <c:numRef>
              <c:f>Sheet1!$B$140:$B$143</c:f>
              <c:numCache>
                <c:formatCode>General</c:formatCode>
                <c:ptCount val="4"/>
                <c:pt idx="0">
                  <c:v>0.39029999999999998</c:v>
                </c:pt>
                <c:pt idx="1">
                  <c:v>0.39129999999999998</c:v>
                </c:pt>
                <c:pt idx="2">
                  <c:v>0.39240000000000003</c:v>
                </c:pt>
                <c:pt idx="3">
                  <c:v>0.39319999999999999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7A-4B17-B281-7FD00656E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088712"/>
        <c:axId val="522089072"/>
      </c:scatterChart>
      <c:valAx>
        <c:axId val="522088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Atomic</a:t>
                </a:r>
                <a:r>
                  <a:rPr lang="en-US" b="1" baseline="0">
                    <a:solidFill>
                      <a:schemeClr val="tx1"/>
                    </a:solidFill>
                  </a:rPr>
                  <a:t> percent (at.%) Lu</a:t>
                </a:r>
                <a:endParaRPr lang="en-US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+mn-cs"/>
              </a:defRPr>
            </a:pPr>
            <a:endParaRPr lang="en-US"/>
          </a:p>
        </c:txPr>
        <c:crossAx val="522089072"/>
        <c:crosses val="autoZero"/>
        <c:crossBetween val="midCat"/>
      </c:valAx>
      <c:valAx>
        <c:axId val="52208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Lattice parameter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+mn-cs"/>
              </a:defRPr>
            </a:pPr>
            <a:endParaRPr lang="en-US"/>
          </a:p>
        </c:txPr>
        <c:crossAx val="522088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  <a:latin typeface="Yu Gothic" panose="020B0400000000000000" pitchFamily="34" charset="-128"/>
                <a:ea typeface="Yu Gothic" panose="020B0400000000000000" pitchFamily="34" charset="-128"/>
              </a:rPr>
              <a:t>fcc PdSm alloys lattice parameter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2345559930008749"/>
                  <c:y val="-1.9907407407407408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="1" baseline="0">
                        <a:solidFill>
                          <a:schemeClr val="tx1"/>
                        </a:solidFill>
                        <a:latin typeface="Yu Gothic" panose="020B0400000000000000" pitchFamily="34" charset="-128"/>
                        <a:ea typeface="Yu Gothic" panose="020B0400000000000000" pitchFamily="34" charset="-128"/>
                      </a:rPr>
                      <a:t>y = 0.0008x + 0.3898</a:t>
                    </a:r>
                    <a:br>
                      <a:rPr lang="en-US" sz="1200" b="1" baseline="0">
                        <a:solidFill>
                          <a:schemeClr val="tx1"/>
                        </a:solidFill>
                        <a:latin typeface="Yu Gothic" panose="020B0400000000000000" pitchFamily="34" charset="-128"/>
                        <a:ea typeface="Yu Gothic" panose="020B0400000000000000" pitchFamily="34" charset="-128"/>
                      </a:rPr>
                    </a:br>
                    <a:r>
                      <a:rPr lang="en-US" sz="1200" b="1" baseline="0">
                        <a:solidFill>
                          <a:schemeClr val="tx1"/>
                        </a:solidFill>
                        <a:latin typeface="Yu Gothic" panose="020B0400000000000000" pitchFamily="34" charset="-128"/>
                        <a:ea typeface="Yu Gothic" panose="020B0400000000000000" pitchFamily="34" charset="-128"/>
                      </a:rPr>
                      <a:t>R² = 0.9957</a:t>
                    </a:r>
                    <a:endParaRPr lang="en-US" sz="1200" b="1">
                      <a:solidFill>
                        <a:schemeClr val="tx1"/>
                      </a:solidFill>
                      <a:latin typeface="Yu Gothic" panose="020B0400000000000000" pitchFamily="34" charset="-128"/>
                      <a:ea typeface="Yu Gothic" panose="020B0400000000000000" pitchFamily="34" charset="-128"/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Sheet1!$A$153:$A$156</c:f>
              <c:numCache>
                <c:formatCode>General</c:formatCode>
                <c:ptCount val="4"/>
                <c:pt idx="0">
                  <c:v>5</c:v>
                </c:pt>
                <c:pt idx="1">
                  <c:v>6.5</c:v>
                </c:pt>
                <c:pt idx="2">
                  <c:v>8</c:v>
                </c:pt>
                <c:pt idx="3">
                  <c:v>10</c:v>
                </c:pt>
              </c:numCache>
            </c:numRef>
          </c:xVal>
          <c:yVal>
            <c:numRef>
              <c:f>Sheet1!$B$153:$B$156</c:f>
              <c:numCache>
                <c:formatCode>General</c:formatCode>
                <c:ptCount val="4"/>
                <c:pt idx="0">
                  <c:v>0.39410000000000001</c:v>
                </c:pt>
                <c:pt idx="1">
                  <c:v>0.39510000000000001</c:v>
                </c:pt>
                <c:pt idx="2">
                  <c:v>0.39660000000000001</c:v>
                </c:pt>
                <c:pt idx="3">
                  <c:v>0.3982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A7-401C-AEA5-BA2C524D0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525136"/>
        <c:axId val="534525856"/>
      </c:scatterChart>
      <c:valAx>
        <c:axId val="534525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</a:rPr>
                  <a:t>Atomic percent (at.%) Sm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525856"/>
        <c:crosses val="autoZero"/>
        <c:crossBetween val="midCat"/>
      </c:valAx>
      <c:valAx>
        <c:axId val="53452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</a:rPr>
                  <a:t>Lattice parameter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525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0000"/>
              </a:solidFill>
              <a:latin typeface="Yu Gothic" panose="020B0400000000000000" pitchFamily="34" charset="-128"/>
              <a:ea typeface="Yu Gothic" panose="020B0400000000000000" pitchFamily="34" charset="-128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3080927384076992E-2"/>
                  <c:y val="0.257268518518518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Yu Gothic" panose="020B0400000000000000" pitchFamily="34" charset="-128"/>
                      <a:ea typeface="Yu Gothic" panose="020B0400000000000000" pitchFamily="34" charset="-128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Sheet1!$A$176:$A$184</c:f>
              <c:numCache>
                <c:formatCode>General</c:formatCode>
                <c:ptCount val="9"/>
                <c:pt idx="0">
                  <c:v>1.98</c:v>
                </c:pt>
                <c:pt idx="1">
                  <c:v>3.99</c:v>
                </c:pt>
                <c:pt idx="2">
                  <c:v>4.99</c:v>
                </c:pt>
                <c:pt idx="3">
                  <c:v>6.06</c:v>
                </c:pt>
                <c:pt idx="4">
                  <c:v>7.96</c:v>
                </c:pt>
                <c:pt idx="5">
                  <c:v>9.9700000000000006</c:v>
                </c:pt>
                <c:pt idx="6">
                  <c:v>10</c:v>
                </c:pt>
                <c:pt idx="7">
                  <c:v>11</c:v>
                </c:pt>
                <c:pt idx="8">
                  <c:v>15</c:v>
                </c:pt>
              </c:numCache>
            </c:numRef>
          </c:xVal>
          <c:yVal>
            <c:numRef>
              <c:f>Sheet1!$B$176:$B$184</c:f>
              <c:numCache>
                <c:formatCode>General</c:formatCode>
                <c:ptCount val="9"/>
                <c:pt idx="0">
                  <c:v>0.38984000000000002</c:v>
                </c:pt>
                <c:pt idx="1">
                  <c:v>0.39147999999999999</c:v>
                </c:pt>
                <c:pt idx="2">
                  <c:v>0.39232</c:v>
                </c:pt>
                <c:pt idx="3">
                  <c:v>0.39332</c:v>
                </c:pt>
                <c:pt idx="4">
                  <c:v>0.39477000000000001</c:v>
                </c:pt>
                <c:pt idx="5">
                  <c:v>0.39641000000000004</c:v>
                </c:pt>
                <c:pt idx="6">
                  <c:v>0.39646999999999999</c:v>
                </c:pt>
                <c:pt idx="7">
                  <c:v>0.39719000000000004</c:v>
                </c:pt>
                <c:pt idx="8">
                  <c:v>0.39882000000000001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EA8-4025-BD35-0CAE7F43E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757032"/>
        <c:axId val="451763152"/>
      </c:scatterChart>
      <c:valAx>
        <c:axId val="451757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</a:rPr>
                  <a:t>Atomic percent (at.%) 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Yu Gothic" panose="020B0400000000000000" pitchFamily="34" charset="-128"/>
                  <a:ea typeface="Yu Gothic" panose="020B0400000000000000" pitchFamily="34" charset="-128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+mn-cs"/>
              </a:defRPr>
            </a:pPr>
            <a:endParaRPr lang="en-US"/>
          </a:p>
        </c:txPr>
        <c:crossAx val="451763152"/>
        <c:crosses val="autoZero"/>
        <c:crossBetween val="midCat"/>
      </c:valAx>
      <c:valAx>
        <c:axId val="45176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</a:rPr>
                  <a:t>Lattice parameter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Yu Gothic" panose="020B0400000000000000" pitchFamily="34" charset="-128"/>
                  <a:ea typeface="Yu Gothic" panose="020B0400000000000000" pitchFamily="34" charset="-128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+mn-cs"/>
              </a:defRPr>
            </a:pPr>
            <a:endParaRPr lang="en-US"/>
          </a:p>
        </c:txPr>
        <c:crossAx val="451757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Yu Gothic" panose="020B0400000000000000" pitchFamily="34" charset="-128"/>
              <a:ea typeface="Yu Gothic" panose="020B0400000000000000" pitchFamily="34" charset="-128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fcc PdAl solid solution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6017279090113738E-2"/>
                  <c:y val="-0.342299504228638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Yu Gothic" panose="020B0400000000000000" pitchFamily="34" charset="-128"/>
                      <a:ea typeface="Yu Gothic" panose="020B0400000000000000" pitchFamily="34" charset="-128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Sheet1!$A$191:$A$195</c:f>
              <c:numCache>
                <c:formatCode>General</c:formatCode>
                <c:ptCount val="5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</c:numCache>
            </c:numRef>
          </c:xVal>
          <c:yVal>
            <c:numRef>
              <c:f>Sheet1!$B$191:$B$195</c:f>
              <c:numCache>
                <c:formatCode>General</c:formatCode>
                <c:ptCount val="5"/>
                <c:pt idx="0">
                  <c:v>0.38900000000000001</c:v>
                </c:pt>
                <c:pt idx="1">
                  <c:v>0.3886</c:v>
                </c:pt>
                <c:pt idx="2">
                  <c:v>0.38829999999999998</c:v>
                </c:pt>
                <c:pt idx="3">
                  <c:v>0.38800000000000001</c:v>
                </c:pt>
                <c:pt idx="4">
                  <c:v>0.38769999999999999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5D-4269-92A0-4E0FDDE39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757032"/>
        <c:axId val="451757392"/>
      </c:scatterChart>
      <c:valAx>
        <c:axId val="451757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</a:rPr>
                  <a:t>Atomic percent (at.%) 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Yu Gothic" panose="020B0400000000000000" pitchFamily="34" charset="-128"/>
                  <a:ea typeface="Yu Gothic" panose="020B0400000000000000" pitchFamily="34" charset="-128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757392"/>
        <c:crosses val="autoZero"/>
        <c:crossBetween val="midCat"/>
      </c:valAx>
      <c:valAx>
        <c:axId val="45175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</a:rPr>
                  <a:t>Lattice paramter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Yu Gothic" panose="020B0400000000000000" pitchFamily="34" charset="-128"/>
                  <a:ea typeface="Yu Gothic" panose="020B0400000000000000" pitchFamily="34" charset="-128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+mn-cs"/>
              </a:defRPr>
            </a:pPr>
            <a:endParaRPr lang="en-US"/>
          </a:p>
        </c:txPr>
        <c:crossAx val="451757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fcc PdHo solid  solution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771106736657919"/>
                  <c:y val="-2.1617089530475359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="1" baseline="0">
                        <a:solidFill>
                          <a:schemeClr val="tx1"/>
                        </a:solidFill>
                        <a:latin typeface="Yu Gothic" panose="020B0400000000000000" pitchFamily="34" charset="-128"/>
                        <a:ea typeface="Yu Gothic" panose="020B0400000000000000" pitchFamily="34" charset="-128"/>
                      </a:rPr>
                      <a:t>y = 0.0007x + 0.389</a:t>
                    </a:r>
                    <a:br>
                      <a:rPr lang="en-US" sz="1200" b="1" baseline="0">
                        <a:solidFill>
                          <a:schemeClr val="tx1"/>
                        </a:solidFill>
                        <a:latin typeface="Yu Gothic" panose="020B0400000000000000" pitchFamily="34" charset="-128"/>
                        <a:ea typeface="Yu Gothic" panose="020B0400000000000000" pitchFamily="34" charset="-128"/>
                      </a:rPr>
                    </a:br>
                    <a:r>
                      <a:rPr lang="en-US" sz="1200" b="1" baseline="0">
                        <a:solidFill>
                          <a:schemeClr val="tx1"/>
                        </a:solidFill>
                        <a:latin typeface="Yu Gothic" panose="020B0400000000000000" pitchFamily="34" charset="-128"/>
                        <a:ea typeface="Yu Gothic" panose="020B0400000000000000" pitchFamily="34" charset="-128"/>
                      </a:rPr>
                      <a:t>R² = 0.9971</a:t>
                    </a:r>
                    <a:endParaRPr lang="en-US" sz="1200" b="1">
                      <a:solidFill>
                        <a:schemeClr val="tx1"/>
                      </a:solidFill>
                      <a:latin typeface="Yu Gothic" panose="020B0400000000000000" pitchFamily="34" charset="-128"/>
                      <a:ea typeface="Yu Gothic" panose="020B0400000000000000" pitchFamily="34" charset="-128"/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Sheet1!$A$200:$A$204</c:f>
              <c:numCache>
                <c:formatCode>General</c:formatCode>
                <c:ptCount val="5"/>
                <c:pt idx="0">
                  <c:v>1.5</c:v>
                </c:pt>
                <c:pt idx="1">
                  <c:v>3</c:v>
                </c:pt>
                <c:pt idx="2">
                  <c:v>4.5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Sheet1!$B$200:$B$204</c:f>
              <c:numCache>
                <c:formatCode>General</c:formatCode>
                <c:ptCount val="5"/>
                <c:pt idx="0">
                  <c:v>0.3901</c:v>
                </c:pt>
                <c:pt idx="1">
                  <c:v>0.39100000000000001</c:v>
                </c:pt>
                <c:pt idx="2">
                  <c:v>0.39190000000000003</c:v>
                </c:pt>
                <c:pt idx="3">
                  <c:v>0.39290000000000003</c:v>
                </c:pt>
                <c:pt idx="4">
                  <c:v>0.39439999999999997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F9-4CF8-9264-76A24FADD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843296"/>
        <c:axId val="655838976"/>
      </c:scatterChart>
      <c:valAx>
        <c:axId val="65584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</a:rPr>
                  <a:t>Atomic percentage (at.%) Ho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+mn-cs"/>
              </a:defRPr>
            </a:pPr>
            <a:endParaRPr lang="en-US"/>
          </a:p>
        </c:txPr>
        <c:crossAx val="655838976"/>
        <c:crosses val="autoZero"/>
        <c:crossBetween val="midCat"/>
      </c:valAx>
      <c:valAx>
        <c:axId val="65583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</a:rPr>
                  <a:t>Lattice parameter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Yu Gothic" panose="020B0400000000000000" pitchFamily="34" charset="-128"/>
                  <a:ea typeface="Yu Gothic" panose="020B0400000000000000" pitchFamily="34" charset="-128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+mn-cs"/>
              </a:defRPr>
            </a:pPr>
            <a:endParaRPr lang="en-US"/>
          </a:p>
        </c:txPr>
        <c:crossAx val="655843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  <a:latin typeface="Yu Gothic" panose="020B0400000000000000" pitchFamily="34" charset="-128"/>
                <a:ea typeface="Yu Gothic" panose="020B0400000000000000" pitchFamily="34" charset="-128"/>
              </a:rPr>
              <a:t>fcc lattice parameter PdPd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5562773403324585E-2"/>
                  <c:y val="0.2790565762613006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>
                        <a:solidFill>
                          <a:sysClr val="windowText" lastClr="000000"/>
                        </a:solidFill>
                        <a:latin typeface="Yu Gothic" panose="020B0400000000000000" pitchFamily="34" charset="-128"/>
                        <a:ea typeface="Yu Gothic" panose="020B0400000000000000" pitchFamily="34" charset="-128"/>
                      </a:rPr>
                      <a:t>y = 0.0005x + 0.389</a:t>
                    </a:r>
                    <a:br>
                      <a:rPr lang="en-US" sz="1200" baseline="0">
                        <a:solidFill>
                          <a:sysClr val="windowText" lastClr="000000"/>
                        </a:solidFill>
                        <a:latin typeface="Yu Gothic" panose="020B0400000000000000" pitchFamily="34" charset="-128"/>
                        <a:ea typeface="Yu Gothic" panose="020B0400000000000000" pitchFamily="34" charset="-128"/>
                      </a:rPr>
                    </a:br>
                    <a:r>
                      <a:rPr lang="en-US" sz="1200" baseline="0">
                        <a:solidFill>
                          <a:sysClr val="windowText" lastClr="000000"/>
                        </a:solidFill>
                        <a:latin typeface="Yu Gothic" panose="020B0400000000000000" pitchFamily="34" charset="-128"/>
                        <a:ea typeface="Yu Gothic" panose="020B0400000000000000" pitchFamily="34" charset="-128"/>
                      </a:rPr>
                      <a:t>R² = 0.9998</a:t>
                    </a:r>
                    <a:endParaRPr lang="en-US" sz="1200">
                      <a:solidFill>
                        <a:sysClr val="windowText" lastClr="000000"/>
                      </a:solidFill>
                      <a:latin typeface="Yu Gothic" panose="020B0400000000000000" pitchFamily="34" charset="-128"/>
                      <a:ea typeface="Yu Gothic" panose="020B0400000000000000" pitchFamily="34" charset="-128"/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Sheet1!$A$208:$A$212</c:f>
              <c:numCache>
                <c:formatCode>General</c:formatCode>
                <c:ptCount val="5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9</c:v>
                </c:pt>
              </c:numCache>
            </c:numRef>
          </c:xVal>
          <c:yVal>
            <c:numRef>
              <c:f>Sheet1!$B$208:$B$212</c:f>
              <c:numCache>
                <c:formatCode>General</c:formatCode>
                <c:ptCount val="5"/>
                <c:pt idx="0">
                  <c:v>0.38900000000000001</c:v>
                </c:pt>
                <c:pt idx="1">
                  <c:v>0.39029999999999998</c:v>
                </c:pt>
                <c:pt idx="2">
                  <c:v>0.39169999999999999</c:v>
                </c:pt>
                <c:pt idx="3">
                  <c:v>0.3931</c:v>
                </c:pt>
                <c:pt idx="4">
                  <c:v>0.39389999999999997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A71-4260-8E4A-742D3574C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534496"/>
        <c:axId val="534529096"/>
      </c:scatterChart>
      <c:valAx>
        <c:axId val="534534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</a:rPr>
                  <a:t>Atomic percentage (at.%) Pb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529096"/>
        <c:crosses val="autoZero"/>
        <c:crossBetween val="midCat"/>
      </c:valAx>
      <c:valAx>
        <c:axId val="534529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</a:rPr>
                  <a:t>Lattice parameter</a:t>
                </a:r>
                <a:r>
                  <a:rPr lang="en-US" b="1" baseline="0">
                    <a:solidFill>
                      <a:sysClr val="windowText" lastClr="000000"/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</a:rPr>
                  <a:t> (nm)</a:t>
                </a:r>
                <a:endParaRPr lang="en-US" b="1">
                  <a:solidFill>
                    <a:sysClr val="windowText" lastClr="000000"/>
                  </a:solidFill>
                  <a:latin typeface="Yu Gothic" panose="020B0400000000000000" pitchFamily="34" charset="-128"/>
                  <a:ea typeface="Yu Gothic" panose="020B0400000000000000" pitchFamily="34" charset="-128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534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fcc Palladium Gold lattice parameter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785695538057743"/>
                  <c:y val="0.194027777777777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Sheet1!$A$451:$A$464</c:f>
              <c:numCache>
                <c:formatCode>General</c:formatCode>
                <c:ptCount val="14"/>
                <c:pt idx="0">
                  <c:v>100</c:v>
                </c:pt>
                <c:pt idx="1">
                  <c:v>91.29</c:v>
                </c:pt>
                <c:pt idx="2">
                  <c:v>75.400000000000006</c:v>
                </c:pt>
                <c:pt idx="3">
                  <c:v>66.8</c:v>
                </c:pt>
                <c:pt idx="4">
                  <c:v>61.76</c:v>
                </c:pt>
                <c:pt idx="5">
                  <c:v>55.76</c:v>
                </c:pt>
                <c:pt idx="6">
                  <c:v>44.76</c:v>
                </c:pt>
                <c:pt idx="7">
                  <c:v>35.07</c:v>
                </c:pt>
                <c:pt idx="8">
                  <c:v>26.47</c:v>
                </c:pt>
                <c:pt idx="9">
                  <c:v>18.8</c:v>
                </c:pt>
                <c:pt idx="10">
                  <c:v>15.26</c:v>
                </c:pt>
                <c:pt idx="11">
                  <c:v>11.9</c:v>
                </c:pt>
                <c:pt idx="12">
                  <c:v>8.6999999999999993</c:v>
                </c:pt>
                <c:pt idx="13">
                  <c:v>5.66</c:v>
                </c:pt>
              </c:numCache>
            </c:numRef>
          </c:xVal>
          <c:yVal>
            <c:numRef>
              <c:f>Sheet1!$E$451:$E$465</c:f>
              <c:numCache>
                <c:formatCode>General</c:formatCode>
                <c:ptCount val="15"/>
                <c:pt idx="0">
                  <c:v>0.40781999999999996</c:v>
                </c:pt>
                <c:pt idx="1">
                  <c:v>0.40598999999999996</c:v>
                </c:pt>
                <c:pt idx="2">
                  <c:v>0.40271999999999997</c:v>
                </c:pt>
                <c:pt idx="3">
                  <c:v>0.40113000000000004</c:v>
                </c:pt>
                <c:pt idx="4">
                  <c:v>0.40015000000000001</c:v>
                </c:pt>
                <c:pt idx="5">
                  <c:v>0.39910000000000001</c:v>
                </c:pt>
                <c:pt idx="6">
                  <c:v>0.39715</c:v>
                </c:pt>
                <c:pt idx="7">
                  <c:v>0.39550999999999997</c:v>
                </c:pt>
                <c:pt idx="8">
                  <c:v>0.39388999999999996</c:v>
                </c:pt>
                <c:pt idx="9">
                  <c:v>0.39251000000000003</c:v>
                </c:pt>
                <c:pt idx="10">
                  <c:v>0.39184000000000002</c:v>
                </c:pt>
                <c:pt idx="11">
                  <c:v>0.39117000000000002</c:v>
                </c:pt>
                <c:pt idx="12">
                  <c:v>0.39062999999999998</c:v>
                </c:pt>
                <c:pt idx="13">
                  <c:v>0.39005999999999996</c:v>
                </c:pt>
                <c:pt idx="14">
                  <c:v>0.38896000000000003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CC-48F3-85F3-CC6C74F56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655784"/>
        <c:axId val="545657224"/>
      </c:scatterChart>
      <c:valAx>
        <c:axId val="545655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Atomic percent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(at.%) Au</a:t>
                </a:r>
                <a:endParaRPr lang="en-US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657224"/>
        <c:crosses val="autoZero"/>
        <c:crossBetween val="midCat"/>
      </c:valAx>
      <c:valAx>
        <c:axId val="545657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Lattice parameter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655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image" Target="../media/image1.png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</xdr:colOff>
      <xdr:row>3</xdr:row>
      <xdr:rowOff>14287</xdr:rowOff>
    </xdr:from>
    <xdr:to>
      <xdr:col>12</xdr:col>
      <xdr:colOff>319087</xdr:colOff>
      <xdr:row>17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C815AA-B8AC-4BF6-8659-90D2450424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6458</xdr:colOff>
      <xdr:row>33</xdr:row>
      <xdr:rowOff>154013</xdr:rowOff>
    </xdr:from>
    <xdr:to>
      <xdr:col>11</xdr:col>
      <xdr:colOff>284136</xdr:colOff>
      <xdr:row>47</xdr:row>
      <xdr:rowOff>185010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E1C35F7-2A4C-286D-1A9A-05AF581FFF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4455205</xdr:colOff>
      <xdr:row>65</xdr:row>
      <xdr:rowOff>187551</xdr:rowOff>
    </xdr:from>
    <xdr:to>
      <xdr:col>3</xdr:col>
      <xdr:colOff>9027205</xdr:colOff>
      <xdr:row>79</xdr:row>
      <xdr:rowOff>27894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B9F83AD-26FC-0B4F-5A09-50888397C9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6201455</xdr:colOff>
      <xdr:row>83</xdr:row>
      <xdr:rowOff>17462</xdr:rowOff>
    </xdr:from>
    <xdr:to>
      <xdr:col>3</xdr:col>
      <xdr:colOff>10773455</xdr:colOff>
      <xdr:row>97</xdr:row>
      <xdr:rowOff>39234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D74C7B9-9A84-6DB0-84DE-B4AC053293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2085296</xdr:colOff>
      <xdr:row>99</xdr:row>
      <xdr:rowOff>85499</xdr:rowOff>
    </xdr:from>
    <xdr:to>
      <xdr:col>3</xdr:col>
      <xdr:colOff>6657296</xdr:colOff>
      <xdr:row>113</xdr:row>
      <xdr:rowOff>129949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094EAF3-5CEE-2AC8-3602-370EACE7B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7959045</xdr:colOff>
      <xdr:row>108</xdr:row>
      <xdr:rowOff>178102</xdr:rowOff>
    </xdr:from>
    <xdr:to>
      <xdr:col>3</xdr:col>
      <xdr:colOff>12531045</xdr:colOff>
      <xdr:row>123</xdr:row>
      <xdr:rowOff>39234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9A8D316-9BA4-0666-02EC-6EE6423BE4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3514989</xdr:colOff>
      <xdr:row>120</xdr:row>
      <xdr:rowOff>156368</xdr:rowOff>
    </xdr:from>
    <xdr:to>
      <xdr:col>3</xdr:col>
      <xdr:colOff>8086989</xdr:colOff>
      <xdr:row>135</xdr:row>
      <xdr:rowOff>15610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804087-090D-1A42-AFB9-7A2856946E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8182665</xdr:colOff>
      <xdr:row>135</xdr:row>
      <xdr:rowOff>113827</xdr:rowOff>
    </xdr:from>
    <xdr:to>
      <xdr:col>3</xdr:col>
      <xdr:colOff>12751864</xdr:colOff>
      <xdr:row>149</xdr:row>
      <xdr:rowOff>111585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29A05F-6A13-54BE-C86E-B3CA33A420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2885586</xdr:colOff>
      <xdr:row>149</xdr:row>
      <xdr:rowOff>8303</xdr:rowOff>
    </xdr:from>
    <xdr:to>
      <xdr:col>3</xdr:col>
      <xdr:colOff>7457586</xdr:colOff>
      <xdr:row>163</xdr:row>
      <xdr:rowOff>16119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43C7569-AFEC-68BC-C57D-1BD27D4F12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1348829</xdr:colOff>
      <xdr:row>171</xdr:row>
      <xdr:rowOff>106416</xdr:rowOff>
    </xdr:from>
    <xdr:to>
      <xdr:col>3</xdr:col>
      <xdr:colOff>5920829</xdr:colOff>
      <xdr:row>186</xdr:row>
      <xdr:rowOff>46857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7C86A89-F129-7FF9-0597-083EE8C85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6508749</xdr:colOff>
      <xdr:row>179</xdr:row>
      <xdr:rowOff>152399</xdr:rowOff>
    </xdr:from>
    <xdr:to>
      <xdr:col>3</xdr:col>
      <xdr:colOff>11080749</xdr:colOff>
      <xdr:row>194</xdr:row>
      <xdr:rowOff>27515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BD6B9C7-B5A7-BD25-9D54-9B44BF3F8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5625819</xdr:colOff>
      <xdr:row>190</xdr:row>
      <xdr:rowOff>123762</xdr:rowOff>
    </xdr:from>
    <xdr:to>
      <xdr:col>3</xdr:col>
      <xdr:colOff>10197819</xdr:colOff>
      <xdr:row>205</xdr:row>
      <xdr:rowOff>10862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9ACAD06-E699-E6EA-7681-3200CB8CFC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1212414</xdr:colOff>
      <xdr:row>206</xdr:row>
      <xdr:rowOff>201115</xdr:rowOff>
    </xdr:from>
    <xdr:to>
      <xdr:col>3</xdr:col>
      <xdr:colOff>5784414</xdr:colOff>
      <xdr:row>219</xdr:row>
      <xdr:rowOff>224710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EBAECE7-55EB-BE0D-B805-AB32BC10E6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390768</xdr:colOff>
      <xdr:row>223</xdr:row>
      <xdr:rowOff>105834</xdr:rowOff>
    </xdr:from>
    <xdr:to>
      <xdr:col>14</xdr:col>
      <xdr:colOff>162819</xdr:colOff>
      <xdr:row>226</xdr:row>
      <xdr:rowOff>105832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F2658E7E-5A05-15A1-D4FE-41287EE686F1}"/>
                </a:ext>
              </a:extLst>
            </xdr:cNvPr>
            <xdr:cNvSpPr/>
          </xdr:nvSpPr>
          <xdr:spPr>
            <a:xfrm>
              <a:off x="24838268" y="42439167"/>
              <a:ext cx="2214359" cy="561729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/>
                <a:t>aFCC,</a:t>
              </a:r>
              <a:r>
                <a:rPr lang="en-US" sz="1100" baseline="0"/>
                <a:t> Ru = </a:t>
              </a:r>
              <a:r>
                <a:rPr lang="en-US" sz="1100" baseline="0">
                  <a:sym typeface="Symbol" panose="05050102010706020507" pitchFamily="18" charset="2"/>
                </a:rPr>
                <a:t>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lang="en-US" sz="1100" i="1" baseline="0">
                          <a:latin typeface="Cambria Math" panose="02040503050406030204" pitchFamily="18" charset="0"/>
                          <a:sym typeface="Symbol" panose="05050102010706020507" pitchFamily="18" charset="2"/>
                        </a:rPr>
                      </m:ctrlPr>
                    </m:radPr>
                    <m:deg/>
                    <m:e>
                      <m:r>
                        <a:rPr lang="en-US" sz="1100" b="0" i="1" baseline="0">
                          <a:latin typeface="Cambria Math" panose="02040503050406030204" pitchFamily="18" charset="0"/>
                          <a:sym typeface="Symbol" panose="05050102010706020507" pitchFamily="18" charset="2"/>
                        </a:rPr>
                        <m:t>2</m:t>
                      </m:r>
                    </m:e>
                  </m:rad>
                </m:oMath>
              </a14:m>
              <a:r>
                <a:rPr lang="en-US" sz="1100"/>
                <a:t>*aHCP, Ru</a:t>
              </a:r>
            </a:p>
            <a:p>
              <a:pPr algn="l"/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https://doi.org/10.1038/s41467-018-02933-6</a:t>
              </a:r>
              <a:endParaRPr lang="en-US" sz="1100"/>
            </a:p>
          </xdr:txBody>
        </xdr:sp>
      </mc:Choice>
      <mc:Fallback xmlns=""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F2658E7E-5A05-15A1-D4FE-41287EE686F1}"/>
                </a:ext>
              </a:extLst>
            </xdr:cNvPr>
            <xdr:cNvSpPr/>
          </xdr:nvSpPr>
          <xdr:spPr>
            <a:xfrm>
              <a:off x="24838268" y="42439167"/>
              <a:ext cx="2214359" cy="561729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/>
                <a:t>aFCC,</a:t>
              </a:r>
              <a:r>
                <a:rPr lang="en-US" sz="1100" baseline="0"/>
                <a:t> Ru = </a:t>
              </a:r>
              <a:r>
                <a:rPr lang="en-US" sz="1100" baseline="0">
                  <a:sym typeface="Symbol" panose="05050102010706020507" pitchFamily="18" charset="2"/>
                </a:rPr>
                <a:t></a:t>
              </a:r>
              <a:r>
                <a:rPr lang="en-US" sz="1100" i="0" baseline="0">
                  <a:latin typeface="Cambria Math" panose="02040503050406030204" pitchFamily="18" charset="0"/>
                  <a:sym typeface="Symbol" panose="05050102010706020507" pitchFamily="18" charset="2"/>
                </a:rPr>
                <a:t>√</a:t>
              </a:r>
              <a:r>
                <a:rPr lang="en-US" sz="1100" b="0" i="0" baseline="0">
                  <a:latin typeface="Cambria Math" panose="02040503050406030204" pitchFamily="18" charset="0"/>
                  <a:sym typeface="Symbol" panose="05050102010706020507" pitchFamily="18" charset="2"/>
                </a:rPr>
                <a:t>2</a:t>
              </a:r>
              <a:r>
                <a:rPr lang="en-US" sz="1100"/>
                <a:t>*aHCP, Ru</a:t>
              </a:r>
            </a:p>
            <a:p>
              <a:pPr algn="l"/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https://doi.org/10.1038/s41467-018-02933-6</a:t>
              </a:r>
              <a:endParaRPr lang="en-US" sz="1100"/>
            </a:p>
          </xdr:txBody>
        </xdr:sp>
      </mc:Fallback>
    </mc:AlternateContent>
    <xdr:clientData/>
  </xdr:twoCellAnchor>
  <xdr:twoCellAnchor>
    <xdr:from>
      <xdr:col>7</xdr:col>
      <xdr:colOff>32563</xdr:colOff>
      <xdr:row>223</xdr:row>
      <xdr:rowOff>97693</xdr:rowOff>
    </xdr:from>
    <xdr:to>
      <xdr:col>10</xdr:col>
      <xdr:colOff>293076</xdr:colOff>
      <xdr:row>226</xdr:row>
      <xdr:rowOff>97691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2F24B198-909B-F6EC-6DD4-A28E1E344271}"/>
                </a:ext>
              </a:extLst>
            </xdr:cNvPr>
            <xdr:cNvSpPr/>
          </xdr:nvSpPr>
          <xdr:spPr>
            <a:xfrm>
              <a:off x="22526217" y="42431026"/>
              <a:ext cx="2214359" cy="561729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/>
                <a:t>aFCC,</a:t>
              </a:r>
              <a:r>
                <a:rPr lang="en-US" sz="1100" baseline="0"/>
                <a:t> Y = </a:t>
              </a:r>
              <a:r>
                <a:rPr lang="en-US" sz="1100" baseline="0">
                  <a:sym typeface="Symbol" panose="05050102010706020507" pitchFamily="18" charset="2"/>
                </a:rPr>
                <a:t>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lang="en-US" sz="1100" i="1" baseline="0">
                          <a:latin typeface="Cambria Math" panose="02040503050406030204" pitchFamily="18" charset="0"/>
                          <a:sym typeface="Symbol" panose="05050102010706020507" pitchFamily="18" charset="2"/>
                        </a:rPr>
                      </m:ctrlPr>
                    </m:radPr>
                    <m:deg/>
                    <m:e>
                      <m:r>
                        <a:rPr lang="en-US" sz="1100" b="0" i="1" baseline="0">
                          <a:latin typeface="Cambria Math" panose="02040503050406030204" pitchFamily="18" charset="0"/>
                          <a:sym typeface="Symbol" panose="05050102010706020507" pitchFamily="18" charset="2"/>
                        </a:rPr>
                        <m:t>2</m:t>
                      </m:r>
                    </m:e>
                  </m:rad>
                </m:oMath>
              </a14:m>
              <a:r>
                <a:rPr lang="en-US" sz="1100"/>
                <a:t>*aHCP, Y</a:t>
              </a:r>
            </a:p>
            <a:p>
              <a:pPr algn="l"/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https://doi.org/10.1038/s41467-018-02933-6</a:t>
              </a:r>
              <a:endParaRPr lang="en-US" sz="1100"/>
            </a:p>
          </xdr:txBody>
        </xdr:sp>
      </mc:Choice>
      <mc:Fallback xmlns=""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2F24B198-909B-F6EC-6DD4-A28E1E344271}"/>
                </a:ext>
              </a:extLst>
            </xdr:cNvPr>
            <xdr:cNvSpPr/>
          </xdr:nvSpPr>
          <xdr:spPr>
            <a:xfrm>
              <a:off x="22526217" y="42431026"/>
              <a:ext cx="2214359" cy="561729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/>
                <a:t>aFCC,</a:t>
              </a:r>
              <a:r>
                <a:rPr lang="en-US" sz="1100" baseline="0"/>
                <a:t> Y = </a:t>
              </a:r>
              <a:r>
                <a:rPr lang="en-US" sz="1100" baseline="0">
                  <a:sym typeface="Symbol" panose="05050102010706020507" pitchFamily="18" charset="2"/>
                </a:rPr>
                <a:t></a:t>
              </a:r>
              <a:r>
                <a:rPr lang="en-US" sz="1100" i="0" baseline="0">
                  <a:latin typeface="Cambria Math" panose="02040503050406030204" pitchFamily="18" charset="0"/>
                  <a:sym typeface="Symbol" panose="05050102010706020507" pitchFamily="18" charset="2"/>
                </a:rPr>
                <a:t>√</a:t>
              </a:r>
              <a:r>
                <a:rPr lang="en-US" sz="1100" b="0" i="0" baseline="0">
                  <a:latin typeface="Cambria Math" panose="02040503050406030204" pitchFamily="18" charset="0"/>
                  <a:sym typeface="Symbol" panose="05050102010706020507" pitchFamily="18" charset="2"/>
                </a:rPr>
                <a:t>2</a:t>
              </a:r>
              <a:r>
                <a:rPr lang="en-US" sz="1100"/>
                <a:t>*aHCP, Y</a:t>
              </a:r>
            </a:p>
            <a:p>
              <a:pPr algn="l"/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https://doi.org/10.1038/s41467-018-02933-6</a:t>
              </a:r>
              <a:endParaRPr lang="en-US" sz="1100"/>
            </a:p>
          </xdr:txBody>
        </xdr:sp>
      </mc:Fallback>
    </mc:AlternateContent>
    <xdr:clientData/>
  </xdr:twoCellAnchor>
  <xdr:twoCellAnchor>
    <xdr:from>
      <xdr:col>7</xdr:col>
      <xdr:colOff>391807</xdr:colOff>
      <xdr:row>234</xdr:row>
      <xdr:rowOff>164746</xdr:rowOff>
    </xdr:from>
    <xdr:to>
      <xdr:col>12</xdr:col>
      <xdr:colOff>544267</xdr:colOff>
      <xdr:row>242</xdr:row>
      <xdr:rowOff>138793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A0BCD62E-D335-852D-43F7-C165E50013F9}"/>
            </a:ext>
          </a:extLst>
        </xdr:cNvPr>
        <xdr:cNvSpPr/>
      </xdr:nvSpPr>
      <xdr:spPr>
        <a:xfrm>
          <a:off x="24364541" y="44451545"/>
          <a:ext cx="4941665" cy="154077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latin typeface="Yu Gothic" panose="020B0400000000000000" pitchFamily="34" charset="-128"/>
              <a:ea typeface="Yu Gothic" panose="020B0400000000000000" pitchFamily="34" charset="-128"/>
            </a:rPr>
            <a:t>Indium forms</a:t>
          </a:r>
          <a:r>
            <a:rPr lang="en-US" sz="1100" baseline="0">
              <a:latin typeface="Yu Gothic" panose="020B0400000000000000" pitchFamily="34" charset="-128"/>
              <a:ea typeface="Yu Gothic" panose="020B0400000000000000" pitchFamily="34" charset="-128"/>
            </a:rPr>
            <a:t> an f.c.t structure at room 20</a:t>
          </a:r>
          <a:r>
            <a:rPr lang="en-US" sz="1100" baseline="0">
              <a:latin typeface="Yu Gothic" panose="020B0400000000000000" pitchFamily="34" charset="-128"/>
              <a:ea typeface="Yu Gothic" panose="020B0400000000000000" pitchFamily="34" charset="-128"/>
              <a:sym typeface="Symbol" panose="05050102010706020507" pitchFamily="18" charset="2"/>
            </a:rPr>
            <a:t></a:t>
          </a:r>
          <a:r>
            <a:rPr lang="en-US" sz="1100" baseline="0">
              <a:latin typeface="Yu Gothic" panose="020B0400000000000000" pitchFamily="34" charset="-128"/>
              <a:ea typeface="Yu Gothic" panose="020B0400000000000000" pitchFamily="34" charset="-128"/>
            </a:rPr>
            <a:t>C with (Values from Pearson's Handbook):</a:t>
          </a:r>
        </a:p>
        <a:p>
          <a:pPr algn="l"/>
          <a:r>
            <a:rPr lang="en-US" sz="1100" baseline="0">
              <a:latin typeface="Yu Gothic" panose="020B0400000000000000" pitchFamily="34" charset="-128"/>
              <a:ea typeface="Yu Gothic" panose="020B0400000000000000" pitchFamily="34" charset="-128"/>
            </a:rPr>
            <a:t>a = 4.5886 ± 2 kX </a:t>
          </a:r>
        </a:p>
        <a:p>
          <a:pPr algn="l"/>
          <a:r>
            <a:rPr lang="en-US" sz="1100">
              <a:latin typeface="Yu Gothic" panose="020B0400000000000000" pitchFamily="34" charset="-128"/>
              <a:ea typeface="Yu Gothic" panose="020B0400000000000000" pitchFamily="34" charset="-128"/>
            </a:rPr>
            <a:t>c = 4.9367 </a:t>
          </a:r>
          <a:r>
            <a:rPr lang="en-US" sz="1100" baseline="0">
              <a:solidFill>
                <a:schemeClr val="lt1"/>
              </a:solidFill>
              <a:effectLst/>
              <a:latin typeface="Yu Gothic" panose="020B0400000000000000" pitchFamily="34" charset="-128"/>
              <a:ea typeface="Yu Gothic" panose="020B0400000000000000" pitchFamily="34" charset="-128"/>
              <a:cs typeface="+mn-cs"/>
            </a:rPr>
            <a:t>± 2 kX </a:t>
          </a:r>
        </a:p>
        <a:p>
          <a:pPr algn="l"/>
          <a:r>
            <a:rPr lang="en-US" sz="1100">
              <a:latin typeface="Yu Gothic" panose="020B0400000000000000" pitchFamily="34" charset="-128"/>
              <a:ea typeface="Yu Gothic" panose="020B0400000000000000" pitchFamily="34" charset="-128"/>
            </a:rPr>
            <a:t>We use a virtual</a:t>
          </a:r>
          <a:r>
            <a:rPr lang="en-US" sz="1100" baseline="0">
              <a:latin typeface="Yu Gothic" panose="020B0400000000000000" pitchFamily="34" charset="-128"/>
              <a:ea typeface="Yu Gothic" panose="020B0400000000000000" pitchFamily="34" charset="-128"/>
            </a:rPr>
            <a:t> fcc lattice constant volume assumption a</a:t>
          </a:r>
          <a:r>
            <a:rPr lang="en-US" sz="1100" baseline="30000">
              <a:latin typeface="Yu Gothic" panose="020B0400000000000000" pitchFamily="34" charset="-128"/>
              <a:ea typeface="Yu Gothic" panose="020B0400000000000000" pitchFamily="34" charset="-128"/>
            </a:rPr>
            <a:t>3</a:t>
          </a:r>
          <a:r>
            <a:rPr lang="en-US" sz="1100" baseline="0">
              <a:latin typeface="Yu Gothic" panose="020B0400000000000000" pitchFamily="34" charset="-128"/>
              <a:ea typeface="Yu Gothic" panose="020B0400000000000000" pitchFamily="34" charset="-128"/>
            </a:rPr>
            <a:t> = a</a:t>
          </a:r>
          <a:r>
            <a:rPr lang="en-US" sz="1100" baseline="30000">
              <a:latin typeface="Yu Gothic" panose="020B0400000000000000" pitchFamily="34" charset="-128"/>
              <a:ea typeface="Yu Gothic" panose="020B0400000000000000" pitchFamily="34" charset="-128"/>
            </a:rPr>
            <a:t>2</a:t>
          </a:r>
          <a:r>
            <a:rPr lang="en-US" sz="1100" baseline="0">
              <a:latin typeface="Yu Gothic" panose="020B0400000000000000" pitchFamily="34" charset="-128"/>
              <a:ea typeface="Yu Gothic" panose="020B0400000000000000" pitchFamily="34" charset="-128"/>
            </a:rPr>
            <a:t>*c </a:t>
          </a:r>
        </a:p>
        <a:p>
          <a:pPr algn="l"/>
          <a:r>
            <a:rPr lang="en-US" sz="1100">
              <a:latin typeface="Yu Gothic" panose="020B0400000000000000" pitchFamily="34" charset="-128"/>
              <a:ea typeface="Yu Gothic" panose="020B0400000000000000" pitchFamily="34" charset="-128"/>
            </a:rPr>
            <a:t>Reference:</a:t>
          </a:r>
          <a:r>
            <a:rPr lang="en-US" sz="1100" baseline="0">
              <a:latin typeface="Yu Gothic" panose="020B0400000000000000" pitchFamily="34" charset="-128"/>
              <a:ea typeface="Yu Gothic" panose="020B0400000000000000" pitchFamily="34" charset="-128"/>
            </a:rPr>
            <a:t> https://doi.org/10.1002/pssb.2220780122 </a:t>
          </a:r>
          <a:endParaRPr lang="en-US" sz="1100">
            <a:latin typeface="Yu Gothic" panose="020B0400000000000000" pitchFamily="34" charset="-128"/>
            <a:ea typeface="Yu Gothic" panose="020B0400000000000000" pitchFamily="34" charset="-128"/>
          </a:endParaRPr>
        </a:p>
      </xdr:txBody>
    </xdr:sp>
    <xdr:clientData/>
  </xdr:twoCellAnchor>
  <xdr:twoCellAnchor>
    <xdr:from>
      <xdr:col>10</xdr:col>
      <xdr:colOff>263089</xdr:colOff>
      <xdr:row>324</xdr:row>
      <xdr:rowOff>48069</xdr:rowOff>
    </xdr:from>
    <xdr:to>
      <xdr:col>12</xdr:col>
      <xdr:colOff>756496</xdr:colOff>
      <xdr:row>329</xdr:row>
      <xdr:rowOff>122198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98C43BA-5B24-72C5-4961-967049BC4C50}"/>
            </a:ext>
          </a:extLst>
        </xdr:cNvPr>
        <xdr:cNvSpPr/>
      </xdr:nvSpPr>
      <xdr:spPr>
        <a:xfrm>
          <a:off x="27360379" y="61364144"/>
          <a:ext cx="2158056" cy="10800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Here the</a:t>
          </a:r>
          <a:r>
            <a:rPr lang="en-US" sz="1100" baseline="0"/>
            <a:t> fcc lattice parameter of Co is used.</a:t>
          </a:r>
        </a:p>
        <a:p>
          <a:pPr algn="l"/>
          <a:r>
            <a:rPr lang="en-US" sz="1100" baseline="0"/>
            <a:t>Value by Owen &amp; Jones: a = 3.5370 kX at 18</a:t>
          </a:r>
          <a:r>
            <a:rPr lang="en-US" sz="1100" baseline="0">
              <a:sym typeface="Symbol" panose="05050102010706020507" pitchFamily="18" charset="2"/>
            </a:rPr>
            <a:t>C</a:t>
          </a:r>
        </a:p>
        <a:p>
          <a:pPr algn="l"/>
          <a:r>
            <a:rPr lang="en-US" sz="1100" baseline="0">
              <a:sym typeface="Symbol" panose="05050102010706020507" pitchFamily="18" charset="2"/>
            </a:rPr>
            <a:t>Reference: Pearson's Handbook of Crystallographic data</a:t>
          </a:r>
          <a:endParaRPr lang="en-US" sz="1100"/>
        </a:p>
      </xdr:txBody>
    </xdr:sp>
    <xdr:clientData/>
  </xdr:twoCellAnchor>
  <xdr:twoCellAnchor>
    <xdr:from>
      <xdr:col>3</xdr:col>
      <xdr:colOff>1617870</xdr:colOff>
      <xdr:row>350</xdr:row>
      <xdr:rowOff>77751</xdr:rowOff>
    </xdr:from>
    <xdr:to>
      <xdr:col>3</xdr:col>
      <xdr:colOff>7153537</xdr:colOff>
      <xdr:row>357</xdr:row>
      <xdr:rowOff>20547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C75336ED-9C25-1E1E-0209-3D98D25DF723}"/>
            </a:ext>
          </a:extLst>
        </xdr:cNvPr>
        <xdr:cNvSpPr/>
      </xdr:nvSpPr>
      <xdr:spPr>
        <a:xfrm>
          <a:off x="8704820" y="68133439"/>
          <a:ext cx="5535667" cy="128853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ysClr val="windowText" lastClr="000000"/>
              </a:solidFill>
              <a:latin typeface="Yu Gothic" panose="020B0400000000000000" pitchFamily="34" charset="-128"/>
              <a:ea typeface="Yu Gothic" panose="020B0400000000000000" pitchFamily="34" charset="-128"/>
            </a:rPr>
            <a:t>The composition considered correspond to the stability</a:t>
          </a:r>
          <a:r>
            <a:rPr lang="en-US" sz="1200" b="1" baseline="0">
              <a:solidFill>
                <a:sysClr val="windowText" lastClr="000000"/>
              </a:solidFill>
              <a:latin typeface="Yu Gothic" panose="020B0400000000000000" pitchFamily="34" charset="-128"/>
              <a:ea typeface="Yu Gothic" panose="020B0400000000000000" pitchFamily="34" charset="-128"/>
            </a:rPr>
            <a:t> of the B2 structure. Therefore the estimation of the lattice parameter based on  B2 PdCu. The Vegard's law applied to that structure gives:</a:t>
          </a:r>
          <a:endParaRPr lang="en-US" sz="1200" b="1">
            <a:solidFill>
              <a:sysClr val="windowText" lastClr="000000"/>
            </a:solidFill>
            <a:latin typeface="Yu Gothic" panose="020B0400000000000000" pitchFamily="34" charset="-128"/>
            <a:ea typeface="Yu Gothic" panose="020B0400000000000000" pitchFamily="34" charset="-128"/>
          </a:endParaRPr>
        </a:p>
        <a:p>
          <a:pPr algn="l"/>
          <a:r>
            <a:rPr lang="en-US" sz="1200" b="1">
              <a:solidFill>
                <a:sysClr val="windowText" lastClr="000000"/>
              </a:solidFill>
              <a:latin typeface="Yu Gothic" panose="020B0400000000000000" pitchFamily="34" charset="-128"/>
              <a:ea typeface="Yu Gothic" panose="020B0400000000000000" pitchFamily="34" charset="-128"/>
            </a:rPr>
            <a:t>a</a:t>
          </a:r>
          <a:r>
            <a:rPr lang="en-US" sz="1200" b="1" baseline="0">
              <a:solidFill>
                <a:sysClr val="windowText" lastClr="000000"/>
              </a:solidFill>
              <a:latin typeface="Yu Gothic" panose="020B0400000000000000" pitchFamily="34" charset="-128"/>
              <a:ea typeface="Yu Gothic" panose="020B0400000000000000" pitchFamily="34" charset="-128"/>
            </a:rPr>
            <a:t> </a:t>
          </a:r>
          <a:r>
            <a:rPr lang="en-US" sz="1200" b="1" baseline="-25000">
              <a:solidFill>
                <a:sysClr val="windowText" lastClr="000000"/>
              </a:solidFill>
              <a:latin typeface="Yu Gothic" panose="020B0400000000000000" pitchFamily="34" charset="-128"/>
              <a:ea typeface="Yu Gothic" panose="020B0400000000000000" pitchFamily="34" charset="-128"/>
            </a:rPr>
            <a:t>(PdCu, BCC)</a:t>
          </a:r>
          <a:r>
            <a:rPr lang="en-US" sz="1200" b="1" baseline="0">
              <a:solidFill>
                <a:sysClr val="windowText" lastClr="000000"/>
              </a:solidFill>
              <a:latin typeface="Yu Gothic" panose="020B0400000000000000" pitchFamily="34" charset="-128"/>
              <a:ea typeface="Yu Gothic" panose="020B0400000000000000" pitchFamily="34" charset="-128"/>
            </a:rPr>
            <a:t> = (1.57*10</a:t>
          </a:r>
          <a:r>
            <a:rPr lang="en-US" sz="1200" b="1" baseline="30000">
              <a:solidFill>
                <a:sysClr val="windowText" lastClr="000000"/>
              </a:solidFill>
              <a:latin typeface="Yu Gothic" panose="020B0400000000000000" pitchFamily="34" charset="-128"/>
              <a:ea typeface="Yu Gothic" panose="020B0400000000000000" pitchFamily="34" charset="-128"/>
            </a:rPr>
            <a:t>-3</a:t>
          </a:r>
          <a:r>
            <a:rPr lang="en-US" sz="1200" b="1" baseline="0">
              <a:solidFill>
                <a:sysClr val="windowText" lastClr="000000"/>
              </a:solidFill>
              <a:latin typeface="Yu Gothic" panose="020B0400000000000000" pitchFamily="34" charset="-128"/>
              <a:ea typeface="Yu Gothic" panose="020B0400000000000000" pitchFamily="34" charset="-128"/>
            </a:rPr>
            <a:t>)</a:t>
          </a:r>
          <a:r>
            <a:rPr lang="en-US" sz="1200" b="1" i="1" baseline="0">
              <a:solidFill>
                <a:sysClr val="windowText" lastClr="000000"/>
              </a:solidFill>
              <a:latin typeface="Yu Gothic" panose="020B0400000000000000" pitchFamily="34" charset="-128"/>
              <a:ea typeface="Yu Gothic" panose="020B0400000000000000" pitchFamily="34" charset="-128"/>
            </a:rPr>
            <a:t>X</a:t>
          </a:r>
          <a:r>
            <a:rPr lang="en-US" sz="1200" b="1" baseline="-25000">
              <a:solidFill>
                <a:sysClr val="windowText" lastClr="000000"/>
              </a:solidFill>
              <a:latin typeface="Yu Gothic" panose="020B0400000000000000" pitchFamily="34" charset="-128"/>
              <a:ea typeface="Yu Gothic" panose="020B0400000000000000" pitchFamily="34" charset="-128"/>
            </a:rPr>
            <a:t>Pd </a:t>
          </a:r>
          <a:r>
            <a:rPr lang="en-US" sz="1200" b="1" baseline="0">
              <a:solidFill>
                <a:sysClr val="windowText" lastClr="000000"/>
              </a:solidFill>
              <a:latin typeface="Yu Gothic" panose="020B0400000000000000" pitchFamily="34" charset="-128"/>
              <a:ea typeface="Yu Gothic" panose="020B0400000000000000" pitchFamily="34" charset="-128"/>
            </a:rPr>
            <a:t>+ 2.90 (Å)</a:t>
          </a:r>
        </a:p>
        <a:p>
          <a:pPr algn="l"/>
          <a:r>
            <a:rPr lang="en-US" sz="1200" b="1" baseline="0">
              <a:solidFill>
                <a:sysClr val="windowText" lastClr="000000"/>
              </a:solidFill>
              <a:latin typeface="Yu Gothic" panose="020B0400000000000000" pitchFamily="34" charset="-128"/>
              <a:ea typeface="Yu Gothic" panose="020B0400000000000000" pitchFamily="34" charset="-128"/>
            </a:rPr>
            <a:t>Reference: </a:t>
          </a:r>
          <a:r>
            <a:rPr lang="en-US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>
                <a:extLst>
                  <a:ext uri="{A12FA001-AC4F-418D-AE19-62706E023703}">
                    <ahyp:hlinkClr xmlns:ahyp="http://schemas.microsoft.com/office/drawing/2018/hyperlinkcolor" val="tx"/>
                  </a:ext>
                </a:extLst>
              </a:hlinkClick>
            </a:rPr>
            <a:t>https://doi.org/10.1016/j.memsci.2015.07.015</a:t>
          </a:r>
          <a:endParaRPr lang="en-US" sz="1200" b="1" baseline="0">
            <a:solidFill>
              <a:sysClr val="windowText" lastClr="000000"/>
            </a:solidFill>
            <a:latin typeface="Yu Gothic" panose="020B0400000000000000" pitchFamily="34" charset="-128"/>
            <a:ea typeface="Yu Gothic" panose="020B0400000000000000" pitchFamily="34" charset="-128"/>
          </a:endParaRPr>
        </a:p>
      </xdr:txBody>
    </xdr:sp>
    <xdr:clientData/>
  </xdr:twoCellAnchor>
  <xdr:twoCellAnchor>
    <xdr:from>
      <xdr:col>11</xdr:col>
      <xdr:colOff>183511</xdr:colOff>
      <xdr:row>373</xdr:row>
      <xdr:rowOff>113601</xdr:rowOff>
    </xdr:from>
    <xdr:to>
      <xdr:col>15</xdr:col>
      <xdr:colOff>166032</xdr:colOff>
      <xdr:row>377</xdr:row>
      <xdr:rowOff>139818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071D408-3ED5-ABB2-C8B0-5180EA99A248}"/>
            </a:ext>
          </a:extLst>
        </xdr:cNvPr>
        <xdr:cNvSpPr/>
      </xdr:nvSpPr>
      <xdr:spPr>
        <a:xfrm>
          <a:off x="27744841" y="72590986"/>
          <a:ext cx="2796329" cy="79520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Holmium</a:t>
          </a:r>
          <a:r>
            <a:rPr lang="en-US" sz="1100" baseline="0"/>
            <a:t> has a close hexagonal packed lattice parameter, A3 type</a:t>
          </a:r>
        </a:p>
        <a:p>
          <a:pPr algn="l"/>
          <a:r>
            <a:rPr lang="en-US" sz="1100" baseline="0"/>
            <a:t>a = 3.5773 A</a:t>
          </a:r>
        </a:p>
        <a:p>
          <a:pPr algn="l"/>
          <a:r>
            <a:rPr lang="en-US" sz="1100" baseline="0"/>
            <a:t>c = 5.6158  A</a:t>
          </a:r>
        </a:p>
        <a:p>
          <a:pPr algn="l"/>
          <a:endParaRPr lang="en-US" sz="1100"/>
        </a:p>
      </xdr:txBody>
    </xdr:sp>
    <xdr:clientData/>
  </xdr:twoCellAnchor>
  <xdr:twoCellAnchor>
    <xdr:from>
      <xdr:col>13</xdr:col>
      <xdr:colOff>1</xdr:colOff>
      <xdr:row>406</xdr:row>
      <xdr:rowOff>34952</xdr:rowOff>
    </xdr:from>
    <xdr:to>
      <xdr:col>16</xdr:col>
      <xdr:colOff>401973</xdr:colOff>
      <xdr:row>413</xdr:row>
      <xdr:rowOff>34952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66C63325-E9DA-5A03-D81A-CFFA9215F4B7}"/>
            </a:ext>
          </a:extLst>
        </xdr:cNvPr>
        <xdr:cNvSpPr/>
      </xdr:nvSpPr>
      <xdr:spPr>
        <a:xfrm>
          <a:off x="28959496" y="79005067"/>
          <a:ext cx="2761376" cy="141564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Gallium</a:t>
          </a:r>
          <a:r>
            <a:rPr lang="en-US" sz="1100" baseline="0"/>
            <a:t> Ga has an orthorhombic structure</a:t>
          </a:r>
        </a:p>
        <a:p>
          <a:pPr algn="l"/>
          <a:r>
            <a:rPr lang="en-US" sz="1100" baseline="0"/>
            <a:t>a = </a:t>
          </a:r>
          <a:r>
            <a:rPr lang="en-US"/>
            <a:t>4·5258 A</a:t>
          </a:r>
          <a:r>
            <a:rPr lang="en-US">
              <a:latin typeface="Georgia" panose="02040502050405020303" pitchFamily="18" charset="0"/>
            </a:rPr>
            <a:t>±0.0007</a:t>
          </a:r>
          <a:endParaRPr lang="en-US"/>
        </a:p>
        <a:p>
          <a:pPr algn="l"/>
          <a:r>
            <a:rPr lang="en-US" sz="1100" baseline="0"/>
            <a:t>b = </a:t>
          </a:r>
          <a:r>
            <a:rPr lang="en-US"/>
            <a:t>4·5186 A</a:t>
          </a:r>
        </a:p>
        <a:p>
          <a:pPr algn="l"/>
          <a:r>
            <a:rPr lang="en-US" sz="1100" baseline="0"/>
            <a:t>c = </a:t>
          </a:r>
          <a:r>
            <a:rPr lang="en-US"/>
            <a:t>7·6570 A </a:t>
          </a:r>
          <a:r>
            <a:rPr lang="en-US" sz="1100" baseline="0"/>
            <a:t> </a:t>
          </a:r>
        </a:p>
        <a:p>
          <a:pPr algn="l"/>
          <a:r>
            <a:rPr lang="en-US" sz="1100" baseline="0"/>
            <a:t>Reference: 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https://doi.org/10.1038/2071382a0</a:t>
          </a:r>
          <a:endParaRPr lang="en-US" sz="1100"/>
        </a:p>
      </xdr:txBody>
    </xdr:sp>
    <xdr:clientData/>
  </xdr:twoCellAnchor>
  <xdr:twoCellAnchor>
    <xdr:from>
      <xdr:col>3</xdr:col>
      <xdr:colOff>335598</xdr:colOff>
      <xdr:row>450</xdr:row>
      <xdr:rowOff>8190</xdr:rowOff>
    </xdr:from>
    <xdr:to>
      <xdr:col>3</xdr:col>
      <xdr:colOff>4907598</xdr:colOff>
      <xdr:row>464</xdr:row>
      <xdr:rowOff>134241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D6D04AAC-2BBA-52BC-1C8D-FDE25ECE4D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872384</xdr:colOff>
      <xdr:row>433</xdr:row>
      <xdr:rowOff>106822</xdr:rowOff>
    </xdr:from>
    <xdr:to>
      <xdr:col>10</xdr:col>
      <xdr:colOff>186939</xdr:colOff>
      <xdr:row>439</xdr:row>
      <xdr:rowOff>124629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ABF1B8CA-BD2D-28FF-D9EE-CAB3A2FB0273}"/>
            </a:ext>
          </a:extLst>
        </xdr:cNvPr>
        <xdr:cNvSpPr/>
      </xdr:nvSpPr>
      <xdr:spPr>
        <a:xfrm>
          <a:off x="23839206" y="82929813"/>
          <a:ext cx="3453925" cy="119285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The lattice parameter of PdxAuy can be predicted using the relation </a:t>
          </a:r>
          <a:r>
            <a:rPr lang="en-US" baseline="0">
              <a:effectLst/>
            </a:rPr>
            <a:t>y = 0.0002x + 0.389, R² = 0.9992 (data from Maeland and Flanagan (1964)).</a:t>
          </a:r>
        </a:p>
        <a:p>
          <a:pPr algn="l"/>
          <a:r>
            <a:rPr lang="en-US" sz="1100" baseline="0">
              <a:effectLst/>
            </a:rPr>
            <a:t> The lattice parameter for a new composition is written </a:t>
          </a:r>
        </a:p>
        <a:p>
          <a:pPr algn="l"/>
          <a:r>
            <a:rPr lang="en-US" sz="1100" baseline="0">
              <a:effectLst/>
            </a:rPr>
            <a:t>as: apredicted = (1-x</a:t>
          </a:r>
          <a:r>
            <a:rPr lang="en-US" sz="1100" baseline="-25000">
              <a:effectLst/>
            </a:rPr>
            <a:t>Au</a:t>
          </a:r>
          <a:r>
            <a:rPr lang="en-US" sz="1100" baseline="0">
              <a:effectLst/>
            </a:rPr>
            <a:t>)*a</a:t>
          </a:r>
          <a:r>
            <a:rPr lang="en-US" sz="1100" baseline="-25000">
              <a:effectLst/>
            </a:rPr>
            <a:t>Pd</a:t>
          </a:r>
          <a:r>
            <a:rPr lang="en-US" sz="1100" baseline="0">
              <a:effectLst/>
            </a:rPr>
            <a:t> + x</a:t>
          </a:r>
          <a:r>
            <a:rPr lang="en-US" sz="1100" baseline="-25000">
              <a:effectLst/>
            </a:rPr>
            <a:t>Au</a:t>
          </a:r>
          <a:r>
            <a:rPr lang="en-US" sz="1100" baseline="0">
              <a:effectLst/>
            </a:rPr>
            <a:t>a</a:t>
          </a:r>
          <a:r>
            <a:rPr lang="en-US" sz="1100" baseline="-25000">
              <a:effectLst/>
            </a:rPr>
            <a:t>Au</a:t>
          </a:r>
          <a:r>
            <a:rPr lang="en-US" sz="1100" baseline="0">
              <a:effectLst/>
            </a:rPr>
            <a:t> - bx</a:t>
          </a:r>
          <a:r>
            <a:rPr lang="en-US" sz="1100" baseline="-25000">
              <a:effectLst/>
            </a:rPr>
            <a:t>Au</a:t>
          </a:r>
          <a:r>
            <a:rPr lang="en-US" sz="1100" baseline="0">
              <a:effectLst/>
            </a:rPr>
            <a:t>*(1-x</a:t>
          </a:r>
          <a:r>
            <a:rPr lang="en-US" sz="1100" baseline="-25000">
              <a:effectLst/>
            </a:rPr>
            <a:t>Au</a:t>
          </a:r>
          <a:r>
            <a:rPr lang="en-US" sz="1100" baseline="0">
              <a:effectLst/>
            </a:rPr>
            <a:t>), with b being the average bowing factor</a:t>
          </a:r>
          <a:endParaRPr lang="en-US" sz="1100"/>
        </a:p>
      </xdr:txBody>
    </xdr:sp>
    <xdr:clientData/>
  </xdr:twoCellAnchor>
  <xdr:twoCellAnchor>
    <xdr:from>
      <xdr:col>7</xdr:col>
      <xdr:colOff>1139439</xdr:colOff>
      <xdr:row>471</xdr:row>
      <xdr:rowOff>89018</xdr:rowOff>
    </xdr:from>
    <xdr:to>
      <xdr:col>11</xdr:col>
      <xdr:colOff>169136</xdr:colOff>
      <xdr:row>477</xdr:row>
      <xdr:rowOff>106823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778F33A0-6D3B-8346-5EA5-70D8F0355A25}"/>
            </a:ext>
          </a:extLst>
        </xdr:cNvPr>
        <xdr:cNvSpPr/>
      </xdr:nvSpPr>
      <xdr:spPr>
        <a:xfrm>
          <a:off x="25121075" y="90264953"/>
          <a:ext cx="3026636" cy="120175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The formula to calcualte the</a:t>
          </a:r>
          <a:r>
            <a:rPr lang="en-US" sz="1100" baseline="0"/>
            <a:t> lattice of PdCuAg originate from the work of  Zhao and Goldbach, doi: </a:t>
          </a:r>
          <a:r>
            <a:rPr lang="en-US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>
                <a:extLst>
                  <a:ext uri="{A12FA001-AC4F-418D-AE19-62706E023703}">
                    <ahyp:hlinkClr xmlns:ahyp="http://schemas.microsoft.com/office/drawing/2018/hyperlinkcolor" val="tx"/>
                  </a:ext>
                </a:extLst>
              </a:hlinkClick>
            </a:rPr>
            <a:t>https://doi.org/10.1021/am506439x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8</xdr:col>
      <xdr:colOff>62314</xdr:colOff>
      <xdr:row>474</xdr:row>
      <xdr:rowOff>115725</xdr:rowOff>
    </xdr:from>
    <xdr:to>
      <xdr:col>10</xdr:col>
      <xdr:colOff>295623</xdr:colOff>
      <xdr:row>476</xdr:row>
      <xdr:rowOff>65656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770EA8A-6427-4EA2-9E2A-BC7502608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5192291" y="90914790"/>
          <a:ext cx="2209524" cy="323810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0.0761</cdr:x>
      <cdr:y>0.43972</cdr:y>
    </cdr:from>
    <cdr:to>
      <cdr:x>0.53617</cdr:x>
      <cdr:y>0.80623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FE3D8E88-B41D-B55E-E368-81D89FA86ADE}"/>
            </a:ext>
          </a:extLst>
        </cdr:cNvPr>
        <cdr:cNvSpPr/>
      </cdr:nvSpPr>
      <cdr:spPr>
        <a:xfrm xmlns:a="http://schemas.openxmlformats.org/drawingml/2006/main">
          <a:off x="347928" y="1206236"/>
          <a:ext cx="2103437" cy="1005417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kern="1200"/>
            <a:t>For</a:t>
          </a:r>
          <a:r>
            <a:rPr lang="en-US" kern="1200" baseline="0"/>
            <a:t> PdTi10.47 in the database, I used a = 0.3887 nm value which is close to the value of PdTi10 given in the table here.</a:t>
          </a:r>
          <a:endParaRPr lang="en-US" kern="1200"/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0F890D-1AC7-4025-96C9-8B300814A05C}" name="Table1" displayName="Table1" ref="A2:D24" totalsRowShown="0">
  <autoFilter ref="A2:D24" xr:uid="{8A0F890D-1AC7-4025-96C9-8B300814A05C}"/>
  <tableColumns count="4">
    <tableColumn id="1" xr3:uid="{E21DAF44-0B1E-41C9-9D72-11D67E033E63}" name="Atomic concentration of Fe (at.%)"/>
    <tableColumn id="2" xr3:uid="{A72D49DD-DA4F-4C23-99C3-5E4D41661110}" name="Lattice parameter (nm)"/>
    <tableColumn id="3" xr3:uid="{DA2154B0-AD99-4CF2-8DB4-09FB426C1F55}" name="Reference"/>
    <tableColumn id="4" xr3:uid="{4E82A338-9BBE-439F-B444-FEACE8DA3FB9}" name="doi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EA46A9-E359-4E69-A003-58CEE1CA311A}" name="Table2" displayName="Table2" ref="A33:D48" totalsRowShown="0">
  <autoFilter ref="A33:D48" xr:uid="{A0EA46A9-E359-4E69-A003-58CEE1CA311A}"/>
  <tableColumns count="4">
    <tableColumn id="1" xr3:uid="{140B92B3-777E-47C5-91EB-BDB1F30928B1}" name="Atomic concentration of Pt (at.%)" dataDxfId="124"/>
    <tableColumn id="2" xr3:uid="{B9978EC3-9159-41BD-BA59-658D68611D07}" name="Lattice parameter (nm)" dataDxfId="123"/>
    <tableColumn id="3" xr3:uid="{B979EB3E-61CF-4344-948B-37407386858D}" name="Reference"/>
    <tableColumn id="4" xr3:uid="{0BDCDCF2-BA0A-476A-85F8-D15FB9C68650}" name="doi" dataCellStyle="Hyperlink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FBE223-B5B1-42E2-8BE9-D436861C29F4}" name="Table4" displayName="Table4" ref="A66:D80" totalsRowShown="0" headerRowDxfId="122" headerRowBorderDxfId="121" tableBorderDxfId="120">
  <autoFilter ref="A66:D80" xr:uid="{3AFBE223-B5B1-42E2-8BE9-D436861C29F4}"/>
  <tableColumns count="4">
    <tableColumn id="1" xr3:uid="{E1F98F33-EA42-4E0F-B545-4155E5A178DB}" name="Atomic concentration of Ru (at.%)"/>
    <tableColumn id="2" xr3:uid="{41A6582D-9385-441F-AA90-C332FF51ACCD}" name="Lattice parameter (nm)"/>
    <tableColumn id="3" xr3:uid="{83F0C96A-DF88-4DEF-BFCD-218639B7D9ED}" name="Reference"/>
    <tableColumn id="4" xr3:uid="{EEC1746F-A4D8-4B49-90D7-504B27908EE6}" name="doi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D483B4-6EF8-43DE-A1DC-5A9D9FF5044C}" name="Table5" displayName="Table5" ref="A82:E103" totalsRowShown="0">
  <autoFilter ref="A82:E103" xr:uid="{64D483B4-6EF8-43DE-A1DC-5A9D9FF5044C}"/>
  <tableColumns count="5">
    <tableColumn id="1" xr3:uid="{C686184E-FAAB-4385-B408-3B962709DE06}" name="Palladium content (at.%) Pd"/>
    <tableColumn id="2" xr3:uid="{3D7A1192-6A97-4AE8-A368-54D4577057FC}" name="Nickel content (at.%)"/>
    <tableColumn id="3" xr3:uid="{C3E7EFAF-DA1E-44A1-9D33-D7DBA6B8924A}" name="Lattice of fcc PdNi (nm)"/>
    <tableColumn id="4" xr3:uid="{FBFEEC1C-5CDC-49F1-B05C-5D2F4059094F}" name="Reference"/>
    <tableColumn id="5" xr3:uid="{0E930118-5F87-4D6B-A4E9-79D4922E292B}" name="doi" dataCellStyle="Hyperlink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3746ED-9FBE-4009-BCC9-690504D1B1AB}" name="Table6" displayName="Table6" ref="A108:D114" totalsRowShown="0">
  <autoFilter ref="A108:D114" xr:uid="{913746ED-9FBE-4009-BCC9-690504D1B1AB}"/>
  <tableColumns count="4">
    <tableColumn id="1" xr3:uid="{644F8701-04CA-402F-B246-3B3BBC9BD154}" name="Rhodium content (at.%)"/>
    <tableColumn id="2" xr3:uid="{4B69D3E0-2866-4042-B935-566351164C65}" name="Lattice parameter (nm)"/>
    <tableColumn id="3" xr3:uid="{C36BC155-1FCF-4F9D-9E8F-9E7788A99612}" name="Reference "/>
    <tableColumn id="4" xr3:uid="{74881224-BCBA-4FB0-BB45-C45E7F0030B6}" name="doi" dataCellStyle="Hyperlink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FEBD79B-1EC4-4DEC-AB5A-762BD1A13510}" name="Table7" displayName="Table7" ref="A117:D121" totalsRowShown="0">
  <autoFilter ref="A117:D121" xr:uid="{8FEBD79B-1EC4-4DEC-AB5A-762BD1A13510}"/>
  <tableColumns count="4">
    <tableColumn id="1" xr3:uid="{849A73CB-5E03-4F75-8FE7-7BBC02A5F2A9}" name="Bore content (at.%)"/>
    <tableColumn id="2" xr3:uid="{90B95AF8-C7DB-4651-AB6D-370D17EF35C4}" name="Lattice parameter"/>
    <tableColumn id="3" xr3:uid="{5B4CA5E0-BC6C-4667-9DC3-B61B2EB0AA61}" name="Reference" dataDxfId="119"/>
    <tableColumn id="4" xr3:uid="{FC6D8335-A020-48CD-9E98-250DCE33C17F}" name="doi" dataDxfId="118" dataCellStyle="Hyperlink"/>
  </tableColumns>
  <tableStyleInfo name="TableStyleMedium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A461FF-E799-4D2D-97A4-BA8BAC4D7CDA}" name="Table3" displayName="Table3" ref="A130:D135" totalsRowShown="0" headerRowDxfId="117" headerRowBorderDxfId="116" tableBorderDxfId="115">
  <autoFilter ref="A130:D135" xr:uid="{EDA461FF-E799-4D2D-97A4-BA8BAC4D7CDA}"/>
  <tableColumns count="4">
    <tableColumn id="1" xr3:uid="{1A76E67F-3957-40E5-88BC-F24226C05F07}" name="Ti content (at.%)"/>
    <tableColumn id="2" xr3:uid="{BD6912D1-975A-44A6-9854-9A95D49D253B}" name="Lattice parameter"/>
    <tableColumn id="3" xr3:uid="{31DE7477-B90C-4DCC-B134-90A1223ABD5C}" name="Reference"/>
    <tableColumn id="4" xr3:uid="{ABF2DD42-0F81-40C7-A28A-E4D286ABA65D}" name="doi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F4BA7F0-6A18-4E73-9B21-D0F3DF859269}" name="Table8" displayName="Table8" ref="A139:D144" totalsRowShown="0">
  <autoFilter ref="A139:D144" xr:uid="{0F4BA7F0-6A18-4E73-9B21-D0F3DF859269}"/>
  <tableColumns count="4">
    <tableColumn id="1" xr3:uid="{01C68CFF-F379-415A-89B6-2865E35380E5}" name="Lu content (at.%)"/>
    <tableColumn id="2" xr3:uid="{995B2CEB-9781-4997-958D-ADE6D48F6F64}" name="Lattice parameter"/>
    <tableColumn id="3" xr3:uid="{3C2BD416-9F8F-4112-BBC6-46CA0458DC4A}" name="Reference"/>
    <tableColumn id="4" xr3:uid="{BAF51F11-D162-4EDA-AE76-378B6E6ED98F}" name="doi" dataCellStyle="Hyperlink"/>
  </tableColumns>
  <tableStyleInfo name="TableStyleMedium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72FE4AA-FCB8-42FE-9F3D-EADCC6D6F32C}" name="Table9" displayName="Table9" ref="A152:D160" totalsRowShown="0" headerRowDxfId="114" headerRowBorderDxfId="113" tableBorderDxfId="112">
  <autoFilter ref="A152:D160" xr:uid="{172FE4AA-FCB8-42FE-9F3D-EADCC6D6F32C}"/>
  <tableColumns count="4">
    <tableColumn id="1" xr3:uid="{EFA2C061-58C0-415C-8468-2CD05B7B666B}" name="Sm content (at.%)"/>
    <tableColumn id="2" xr3:uid="{A0395686-06C4-4591-8C6A-C3D37A72A876}" name="Lattice parameter"/>
    <tableColumn id="3" xr3:uid="{15D9D301-15D1-4A85-A058-C916435A6DB2}" name="Reference"/>
    <tableColumn id="4" xr3:uid="{96DFF86E-8B25-4D67-A556-7D9558A96414}" name="doi"/>
  </tableColumns>
  <tableStyleInfo name="TableStyleMedium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87D5A15-6318-4724-B4F2-BE8C4DC0E2B1}" name="Table911" displayName="Table911" ref="A166:D172" totalsRowShown="0" headerRowDxfId="111" headerRowBorderDxfId="110" tableBorderDxfId="109">
  <autoFilter ref="A166:D172" xr:uid="{187D5A15-6318-4724-B4F2-BE8C4DC0E2B1}"/>
  <tableColumns count="4">
    <tableColumn id="1" xr3:uid="{9DB49334-6E09-4F58-8C47-911358598CC1}" name="Gd content (at.%)"/>
    <tableColumn id="2" xr3:uid="{CF87082F-BE62-42F9-8930-E8EFD999A3C2}" name="Lattice parameter"/>
    <tableColumn id="3" xr3:uid="{246B6F98-D10C-4975-949E-C6937AD843FE}" name="Reference"/>
    <tableColumn id="4" xr3:uid="{15F837CF-804A-4DCF-9D55-04DFBE3F8DBE}" name="doi"/>
  </tableColumns>
  <tableStyleInfo name="TableStyleMedium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5DB954B-C51F-40FE-B85B-92CE3CD3C847}" name="Table91112" displayName="Table91112" ref="A175:D184" totalsRowShown="0" headerRowDxfId="108" headerRowBorderDxfId="107" tableBorderDxfId="106">
  <autoFilter ref="A175:D184" xr:uid="{75DB954B-C51F-40FE-B85B-92CE3CD3C847}"/>
  <tableColumns count="4">
    <tableColumn id="1" xr3:uid="{98693FC2-EB68-4EEA-997A-BDFFEDBC61B7}" name="Ce content (at.%)"/>
    <tableColumn id="2" xr3:uid="{32064D2B-8A13-49F2-955B-4033EC4EEEE4}" name="Lattice parameter"/>
    <tableColumn id="3" xr3:uid="{59F5F4B4-1E86-4128-B143-06023B27A346}" name="Reference"/>
    <tableColumn id="4" xr3:uid="{571CC49A-701A-4DFC-9236-877C2F646A04}" name="doi"/>
  </tableColumns>
  <tableStyleInfo name="TableStyleMedium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6298E99-842D-4A7F-B112-39DD274626F2}" name="Table12" displayName="Table12" ref="A190:D195" totalsRowShown="0" headerRowDxfId="105" headerRowBorderDxfId="104" tableBorderDxfId="103">
  <autoFilter ref="A190:D195" xr:uid="{66298E99-842D-4A7F-B112-39DD274626F2}"/>
  <tableColumns count="4">
    <tableColumn id="1" xr3:uid="{02AA591F-0DB8-48E6-A1B6-BD63CB1D3417}" name="Al content (at.%)"/>
    <tableColumn id="2" xr3:uid="{248AE385-3B5F-4738-81D5-3D2096B2FA65}" name="Lattice parameter"/>
    <tableColumn id="3" xr3:uid="{CC9349A5-9B79-4E68-A20D-E94306C016C8}" name="Reference"/>
    <tableColumn id="4" xr3:uid="{41A028B6-9936-4F84-AE42-AD9E68987290}" name="doi" dataCellStyle="Hyperlink"/>
  </tableColumns>
  <tableStyleInfo name="TableStyleMedium1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20A82F6-72EC-4720-91D7-6313EA7F3B41}" name="Table1214" displayName="Table1214" ref="A199:D204" totalsRowShown="0" headerRowDxfId="102" headerRowBorderDxfId="101" tableBorderDxfId="100">
  <autoFilter ref="A199:D204" xr:uid="{720A82F6-72EC-4720-91D7-6313EA7F3B41}"/>
  <tableColumns count="4">
    <tableColumn id="1" xr3:uid="{E33F55C6-349A-4699-BF4C-641E6353FC6A}" name="Ho content (at.%)"/>
    <tableColumn id="2" xr3:uid="{DE602126-C50F-4039-B9D6-A46BBA6FC94B}" name="Lattice parameter"/>
    <tableColumn id="3" xr3:uid="{5B9FBFBD-6327-417A-B3C2-75421FDA5C46}" name="Reference"/>
    <tableColumn id="4" xr3:uid="{63BEB15F-E90C-4445-BBFC-1782D0520879}" name="doi" dataCellStyle="Hyperlink"/>
  </tableColumns>
  <tableStyleInfo name="TableStyleMedium1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A69FF0E-8CA3-4972-B0F6-C3637EDF7411}" name="Table121415" displayName="Table121415" ref="A207:D212" totalsRowShown="0" headerRowDxfId="99" headerRowBorderDxfId="98" tableBorderDxfId="97">
  <autoFilter ref="A207:D212" xr:uid="{5A69FF0E-8CA3-4972-B0F6-C3637EDF7411}"/>
  <tableColumns count="4">
    <tableColumn id="1" xr3:uid="{9DE96501-BCB3-467B-B857-326B4361EE7C}" name="Pb content (at.%)"/>
    <tableColumn id="2" xr3:uid="{35C38659-73D5-418C-8E61-9786BB8B27D4}" name="Lattice parameter"/>
    <tableColumn id="3" xr3:uid="{564B6DD4-B31E-4FD4-ACBF-E104FD15B489}" name="Reference"/>
    <tableColumn id="4" xr3:uid="{950E72AC-DD9B-4002-9D64-817C995A30EE}" name="doi" dataCellStyle="Hyperlink"/>
  </tableColumns>
  <tableStyleInfo name="TableStyleMedium1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34C7CE4-8049-4126-8B4F-D09CB46902F2}" name="Table15" displayName="Table15" ref="A219:H221" totalsRowShown="0">
  <autoFilter ref="A219:H221" xr:uid="{534C7CE4-8049-4126-8B4F-D09CB46902F2}"/>
  <tableColumns count="8">
    <tableColumn id="1" xr3:uid="{92E404D9-7848-4246-99CF-2FDBC49F9F1A}" name="Alloy" dataDxfId="96"/>
    <tableColumn id="2" xr3:uid="{8BAE0D4F-95A8-4544-AB06-9EB45145D86A}" name="xPd0.77Ag0.23"/>
    <tableColumn id="3" xr3:uid="{FDC13B46-E52E-41A7-B766-088F7B0F0C30}" name="XAl"/>
    <tableColumn id="4" xr3:uid="{409AD252-DA22-4E7E-A2EC-2BC0DC108F2F}" name="aPd0.77Ag0.23"/>
    <tableColumn id="5" xr3:uid="{0BCE5BDF-CB5F-45D8-9152-529BBBADE80C}" name="aAl(nm)" dataDxfId="95">
      <calculatedColumnFormula>4.0413/10*1.00202</calculatedColumnFormula>
    </tableColumn>
    <tableColumn id="6" xr3:uid="{682474A7-4F3C-47B3-9384-AA8C402BAC42}" name="Lattice of alloy (nm)">
      <calculatedColumnFormula>B220*D220+C220*E220</calculatedColumnFormula>
    </tableColumn>
    <tableColumn id="7" xr3:uid="{7312D3A3-B53A-4076-BA6A-E4D045EEEA85}" name="Reference"/>
    <tableColumn id="8" xr3:uid="{29AD744B-4C18-45C0-8E9E-DF449EDCCEDB}" name="doi"/>
  </tableColumns>
  <tableStyleInfo name="TableStyleMedium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6845913-0D63-4599-9CA2-DC9DB780E721}" name="Table16" displayName="Table16" ref="A233:P234" totalsRowShown="0">
  <autoFilter ref="A233:P234" xr:uid="{56845913-0D63-4599-9CA2-DC9DB780E721}"/>
  <tableColumns count="16">
    <tableColumn id="1" xr3:uid="{83358646-6DA2-46FF-9599-98443A985952}" name="alloy"/>
    <tableColumn id="2" xr3:uid="{CB178405-9908-4239-93DE-859F0A6F3F77}" name="Pd">
      <calculatedColumnFormula>81.42/100</calculatedColumnFormula>
    </tableColumn>
    <tableColumn id="3" xr3:uid="{C50247AF-9727-420E-8FE1-9FB68E398E56}" name="Ag">
      <calculatedColumnFormula>14.9/100</calculatedColumnFormula>
    </tableColumn>
    <tableColumn id="4" xr3:uid="{A63C8282-93B3-4659-9B08-A22BF658E5B6}" name="Au">
      <calculatedColumnFormula>1.36/100</calculatedColumnFormula>
    </tableColumn>
    <tableColumn id="5" xr3:uid="{5AAF0E26-4A4E-475E-8832-328D65E8CBB1}" name="Pt">
      <calculatedColumnFormula>0.38/100</calculatedColumnFormula>
    </tableColumn>
    <tableColumn id="6" xr3:uid="{A4BDCB93-07CE-41B5-A6C3-2FDA7647E791}" name="Ru">
      <calculatedColumnFormula>0.74/100</calculatedColumnFormula>
    </tableColumn>
    <tableColumn id="7" xr3:uid="{08650F60-4068-43D6-A453-18227C942766}" name="Al">
      <calculatedColumnFormula>1.19/100</calculatedColumnFormula>
    </tableColumn>
    <tableColumn id="8" xr3:uid="{C143D6A4-BF97-4C8E-843F-D9DAB0C83FEF}" name="aPd"/>
    <tableColumn id="9" xr3:uid="{B6DA97C0-97DE-442B-BD28-3BF0E55D3D06}" name="aAg">
      <calculatedColumnFormula>4.0779/10*1.00202</calculatedColumnFormula>
    </tableColumn>
    <tableColumn id="10" xr3:uid="{11742B0B-91E0-480F-9E85-63213DFE78EB}" name="aAu">
      <calculatedColumnFormula>4.0703/10*1.00202</calculatedColumnFormula>
    </tableColumn>
    <tableColumn id="11" xr3:uid="{F25D13B0-A36C-48FF-820B-F2450D7D4EAA}" name="aPt">
      <calculatedColumnFormula>3.916/10*1.00202</calculatedColumnFormula>
    </tableColumn>
    <tableColumn id="12" xr3:uid="{7AD515D6-51B3-4BEC-9907-0BB011F48AB2}" name="aRu">
      <calculatedColumnFormula>2.7003/10*1.00202*2^0.5</calculatedColumnFormula>
    </tableColumn>
    <tableColumn id="13" xr3:uid="{898487E4-93D8-4DBB-8E40-8984659AE91F}" name="aAl" dataDxfId="94">
      <calculatedColumnFormula>4.0413/10*1.00202</calculatedColumnFormula>
    </tableColumn>
    <tableColumn id="14" xr3:uid="{4AEF16BA-4182-48D0-9C3B-4B4BA0FD885B}" name="aAlloy(nm)">
      <calculatedColumnFormula>B234*H234+C234*I234+D234*J234+E234*K234+F234*L234+G234*M234</calculatedColumnFormula>
    </tableColumn>
    <tableColumn id="15" xr3:uid="{DAEFEC97-9EC3-4DB4-8A52-E001F7DF57D3}" name="Reference"/>
    <tableColumn id="16" xr3:uid="{D163DDBC-B22F-4527-ABC5-F06E440AC021}" name="doi"/>
  </tableColumns>
  <tableStyleInfo name="TableStyleMedium1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CE6550C-2A20-441D-9DAF-D6AF1288C198}" name="Table17" displayName="Table17" ref="A240:K241" totalsRowShown="0">
  <autoFilter ref="A240:K241" xr:uid="{ACE6550C-2A20-441D-9DAF-D6AF1288C198}"/>
  <tableColumns count="11">
    <tableColumn id="1" xr3:uid="{57818835-DC59-45E8-9B62-047F1CE397F0}" name="alloy"/>
    <tableColumn id="2" xr3:uid="{01CC09E1-31A3-4AC8-AC55-FFA1851565DC}" name="Pd">
      <calculatedColumnFormula>93.89/100</calculatedColumnFormula>
    </tableColumn>
    <tableColumn id="3" xr3:uid="{D056A9D2-4722-44A3-8F32-C7C4782BDA31}" name="In">
      <calculatedColumnFormula>5.58/100</calculatedColumnFormula>
    </tableColumn>
    <tableColumn id="4" xr3:uid="{7B7DDE80-0A55-404B-8FBB-7C929439C0C5}" name="Ru">
      <calculatedColumnFormula>0.53/100</calculatedColumnFormula>
    </tableColumn>
    <tableColumn id="5" xr3:uid="{F513EF34-F514-40EC-B010-CFE10C6C7F71}" name="aPd" dataDxfId="93"/>
    <tableColumn id="6" xr3:uid="{BAF38E27-D9E6-4AE2-8D10-1AA4AC490C9A}" name="aIn,fcc">
      <calculatedColumnFormula>(((4.5886*1.00202)^2*(4.9367*1.00202))^(1/3))/10</calculatedColumnFormula>
    </tableColumn>
    <tableColumn id="7" xr3:uid="{B3E34CC6-C4B6-4A4C-ADBA-BA68A5515E6A}" name="aRu,fcc" dataDxfId="92">
      <calculatedColumnFormula>2.7003/10*1.00202*2^0.5</calculatedColumnFormula>
    </tableColumn>
    <tableColumn id="8" xr3:uid="{827C452D-FC0D-4A3B-9011-FFD6DBC3DE44}" name="aAlloy (nm)">
      <calculatedColumnFormula>Table17[[#This Row],[Pd]]*Table17[[#This Row],[aPd]]+Table17[[#This Row],[In]]*Table17[[#This Row],[aIn,fcc]]+Table17[[#This Row],[Ru]]*Table17[[#This Row],[aRu,fcc]]</calculatedColumnFormula>
    </tableColumn>
    <tableColumn id="9" xr3:uid="{7F055A58-481F-4EAC-BDAB-DA8E1CB8F85A}" name="Reference"/>
    <tableColumn id="10" xr3:uid="{52DE7AD4-4B7A-498C-A494-6176F044361C}" name="doi"/>
    <tableColumn id="11" xr3:uid="{8E3089A9-6E9E-484B-B937-D9880AC213F5}" name="Column4"/>
  </tableColumns>
  <tableStyleInfo name="TableStyleMedium1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C6DD7C3-ADF1-4339-93A7-BF5A49A3D16C}" name="Table18" displayName="Table18" ref="A248:K255" totalsRowShown="0">
  <autoFilter ref="A248:K255" xr:uid="{8C6DD7C3-ADF1-4339-93A7-BF5A49A3D16C}"/>
  <tableColumns count="11">
    <tableColumn id="1" xr3:uid="{96E16B42-7942-49B2-8EE9-58D035618C25}" name="ALLOYS"/>
    <tableColumn id="2" xr3:uid="{1E29D265-0854-495D-B258-C357D5538218}" name="Conversion"/>
    <tableColumn id="3" xr3:uid="{2998B1D2-4AD5-4C6A-A4E2-D75F9628F82F}" name="Pd"/>
    <tableColumn id="4" xr3:uid="{543E6D9A-91DF-4638-8D18-95C6F335CF52}" name="Cu"/>
    <tableColumn id="5" xr3:uid="{C8C1DE81-39E9-4A0A-9392-B5792EAEF15D}" name="Au"/>
    <tableColumn id="6" xr3:uid="{40C1F0B8-8CA4-473C-904C-47C11B7420F3}" name="aPd"/>
    <tableColumn id="7" xr3:uid="{0E2E809F-85B1-41C1-AFD6-26B4781F68EF}" name="aCu">
      <calculatedColumnFormula>3.6074*1.00202/10</calculatedColumnFormula>
    </tableColumn>
    <tableColumn id="8" xr3:uid="{085295FF-7E01-49C8-902E-B7C75D911DFE}" name="aAu">
      <calculatedColumnFormula>4.0703/10*1.00202</calculatedColumnFormula>
    </tableColumn>
    <tableColumn id="9" xr3:uid="{E6EEF48B-4DE0-41FE-9DAB-5F0BDE5B72FA}" name="aAlloy">
      <calculatedColumnFormula>C249*F249+D249*G249+E249*H249</calculatedColumnFormula>
    </tableColumn>
    <tableColumn id="10" xr3:uid="{2557A7EE-7428-47EE-B305-223090D67883}" name="Reference"/>
    <tableColumn id="11" xr3:uid="{DA40059C-B424-4AA5-B6C5-6EB43337E109}" name="doi"/>
  </tableColumns>
  <tableStyleInfo name="TableStyleMedium1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4C11EF2-4A7B-476A-B2F0-59B828BCE0AF}" name="Table19" displayName="Table19" ref="A260:J261" totalsRowShown="0">
  <autoFilter ref="A260:J261" xr:uid="{74C11EF2-4A7B-476A-B2F0-59B828BCE0AF}"/>
  <tableColumns count="10">
    <tableColumn id="1" xr3:uid="{96FCA7AF-9B12-4AB6-A870-5DA21B6FA5D8}" name="Alloy"/>
    <tableColumn id="2" xr3:uid="{09B12912-4BD3-49CA-B1EC-42DFB2B0FC3F}" name="XPd" dataDxfId="91">
      <calculatedColumnFormula>80.99/100</calculatedColumnFormula>
    </tableColumn>
    <tableColumn id="3" xr3:uid="{3575C874-CD5D-42DE-B3C4-F78067A3489A}" name="XAg">
      <calculatedColumnFormula>9.45/100</calculatedColumnFormula>
    </tableColumn>
    <tableColumn id="4" xr3:uid="{E8E4DC1C-5E35-45B1-9F7D-F8112B419C83}" name="XNi">
      <calculatedColumnFormula>9.56/100</calculatedColumnFormula>
    </tableColumn>
    <tableColumn id="5" xr3:uid="{4526BE27-D174-4905-BE95-55CBB71CFC85}" name="aPd"/>
    <tableColumn id="6" xr3:uid="{0E814030-A5FB-432C-957E-993CE3DBBD5F}" name="aAg" dataDxfId="90">
      <calculatedColumnFormula>4.0779/10*1.00202</calculatedColumnFormula>
    </tableColumn>
    <tableColumn id="7" xr3:uid="{55EC725D-F1B8-43F5-A74B-C1B175FB392C}" name="aNi">
      <calculatedColumnFormula>3.5168*1.00202/10</calculatedColumnFormula>
    </tableColumn>
    <tableColumn id="8" xr3:uid="{DB98DB93-B4AA-42B8-9699-6A875EE57125}" name="aAlloy">
      <calculatedColumnFormula>B261*E261+C261*F261+D261*G261</calculatedColumnFormula>
    </tableColumn>
    <tableColumn id="9" xr3:uid="{04255EAA-B58E-4E47-982B-B9D2684E59D5}" name="Reference"/>
    <tableColumn id="10" xr3:uid="{5D14E67D-A9F1-4790-A442-87A6A06C50D1}" name="doi"/>
  </tableColumns>
  <tableStyleInfo name="TableStyleMedium1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5A7D1A0-E272-4CF3-990D-B5F4C35E4BC3}" name="Table20" displayName="Table20" ref="A268:L269" totalsRowShown="0">
  <autoFilter ref="A268:L269" xr:uid="{E5A7D1A0-E272-4CF3-990D-B5F4C35E4BC3}"/>
  <tableColumns count="12">
    <tableColumn id="1" xr3:uid="{696F000B-D584-4B7F-8423-B4E5A3AF753B}" name="Alloy" dataDxfId="89"/>
    <tableColumn id="2" xr3:uid="{2FF56D55-4644-4E42-8255-0AB70C134746}" name="XPd">
      <calculatedColumnFormula>75.985/100</calculatedColumnFormula>
    </tableColumn>
    <tableColumn id="3" xr3:uid="{B36B002D-F030-4F91-A09E-282CAFB01F22}" name="XAg">
      <calculatedColumnFormula>19.981/100</calculatedColumnFormula>
    </tableColumn>
    <tableColumn id="4" xr3:uid="{C01A07E6-6DC8-4646-8F51-BD8CA14B6B48}" name="XAu">
      <calculatedColumnFormula>1.368/100</calculatedColumnFormula>
    </tableColumn>
    <tableColumn id="5" xr3:uid="{B7F08B22-39EE-4744-8942-9E9D33264F36}" name="XRu">
      <calculatedColumnFormula>2.666/100</calculatedColumnFormula>
    </tableColumn>
    <tableColumn id="6" xr3:uid="{1A61046C-B9B5-4ADE-9EE3-9516A20CEDA3}" name="aPd"/>
    <tableColumn id="7" xr3:uid="{4EE5AB0E-62EC-46C1-A100-64291152DD25}" name="aAg" dataDxfId="88">
      <calculatedColumnFormula>4.0779/10*1.00202</calculatedColumnFormula>
    </tableColumn>
    <tableColumn id="8" xr3:uid="{6DAF922F-3B23-4BA9-A5D6-7948DEB7510D}" name="aAu">
      <calculatedColumnFormula>4.0703/10*1.00202</calculatedColumnFormula>
    </tableColumn>
    <tableColumn id="9" xr3:uid="{F949A540-1442-4B6B-B60B-F645415FAB6C}" name="aRu" dataDxfId="87">
      <calculatedColumnFormula>2.7003/10*1.00202*2^0.5</calculatedColumnFormula>
    </tableColumn>
    <tableColumn id="12" xr3:uid="{7557CED0-1BE3-4525-BCC9-7AC6B9AD4619}" name="aAlloy" dataDxfId="86">
      <calculatedColumnFormula>Table20[[#This Row],[XPd]]*Table20[[#This Row],[aPd]]+Table20[[#This Row],[XAg]]*Table20[[#This Row],[aAg]]+Table20[[#This Row],[XAu]]*Table20[[#This Row],[aAu]]+Table20[[#This Row],[XRu]]*Table20[[#This Row],[aRu]]</calculatedColumnFormula>
    </tableColumn>
    <tableColumn id="10" xr3:uid="{FE8CBB0F-6D96-40B2-B1D2-2683B71D1777}" name="Reference" dataDxfId="85"/>
    <tableColumn id="11" xr3:uid="{648A6BB9-448D-4C54-9A17-E57E4BC56D68}" name="doi" dataDxfId="84"/>
  </tableColumns>
  <tableStyleInfo name="TableStyleMedium15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9FC1B26-9F04-4C2F-A1BB-EFDD8AF138CC}" name="Table21" displayName="Table21" ref="A282:J283" totalsRowShown="0">
  <autoFilter ref="A282:J283" xr:uid="{79FC1B26-9F04-4C2F-A1BB-EFDD8AF138CC}"/>
  <tableColumns count="10">
    <tableColumn id="1" xr3:uid="{4E1BA9D1-9BCD-45BB-A3BF-0A576895C706}" name="Alloy"/>
    <tableColumn id="2" xr3:uid="{44F52B12-55F9-49D1-9A1F-BA0ADD7E6C46}" name="XPd">
      <calculatedColumnFormula>66.8/100</calculatedColumnFormula>
    </tableColumn>
    <tableColumn id="3" xr3:uid="{AEBAD747-2617-42AD-9FF2-7F094C056A56}" name="XAg">
      <calculatedColumnFormula>30.4/100</calculatedColumnFormula>
    </tableColumn>
    <tableColumn id="4" xr3:uid="{EF07E62E-79EA-4E0F-8EA9-4F2DE5A2B0B1}" name="XPt">
      <calculatedColumnFormula>2.8/100</calculatedColumnFormula>
    </tableColumn>
    <tableColumn id="5" xr3:uid="{B597E254-7E73-4706-9911-856D1B1BB70E}" name="aPd"/>
    <tableColumn id="6" xr3:uid="{6AEBF12A-A4DC-4EB9-8808-4FF6B44BDDDD}" name="aAg" dataDxfId="83">
      <calculatedColumnFormula>4.0779/10*1.00202</calculatedColumnFormula>
    </tableColumn>
    <tableColumn id="7" xr3:uid="{C22D1370-AA1D-4A13-90DC-7FDB59979D6C}" name="aPt">
      <calculatedColumnFormula>3.916/10*1.00202</calculatedColumnFormula>
    </tableColumn>
    <tableColumn id="8" xr3:uid="{E25341A0-9696-4801-849F-AE56C9DF697E}" name="aAlloy">
      <calculatedColumnFormula>Table21[[#This Row],[XPd]]*Table21[[#This Row],[aPd]]+Table21[[#This Row],[XAg]]*Table21[[#This Row],[aAg]]+Table21[[#This Row],[XPt]]*Table21[[#This Row],[aPt]]</calculatedColumnFormula>
    </tableColumn>
    <tableColumn id="9" xr3:uid="{DFDDD6B8-C0A3-4740-A221-1AEF3902E344}" name="Reference"/>
    <tableColumn id="10" xr3:uid="{CEE1B15E-475B-45D1-A45E-E0AA546D8733}" name="doi"/>
  </tableColumns>
  <tableStyleInfo name="TableStyleMedium15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9524F12-32D9-4673-9E3C-8A11CDE1718A}" name="Table22" displayName="Table22" ref="A286:L287" totalsRowShown="0">
  <autoFilter ref="A286:L287" xr:uid="{19524F12-32D9-4673-9E3C-8A11CDE1718A}"/>
  <tableColumns count="12">
    <tableColumn id="1" xr3:uid="{6D9FF34E-35BF-4E62-A128-2A691EC13048}" name="Alloy"/>
    <tableColumn id="2" xr3:uid="{1C7E13EA-6B71-46CF-AF9E-68322B44F692}" name="XPd">
      <calculatedColumnFormula>66.724/100</calculatedColumnFormula>
    </tableColumn>
    <tableColumn id="3" xr3:uid="{D4F7B613-D7D6-4721-B99E-36BDB17E7F1E}" name="XAg">
      <calculatedColumnFormula>28.343/100</calculatedColumnFormula>
    </tableColumn>
    <tableColumn id="4" xr3:uid="{53152669-94F0-48EF-8C69-82567B2B7C38}" name="XAu">
      <calculatedColumnFormula>2.772/100</calculatedColumnFormula>
    </tableColumn>
    <tableColumn id="5" xr3:uid="{3BC14B44-776F-4A6F-B999-31191CA087F7}" name="XRu">
      <calculatedColumnFormula>2.161/100</calculatedColumnFormula>
    </tableColumn>
    <tableColumn id="6" xr3:uid="{18029CF0-B832-406D-8868-234F73C98127}" name="aPd"/>
    <tableColumn id="7" xr3:uid="{AB21B9C5-F279-4048-8D44-4772D2F7B6DF}" name="aAg" dataDxfId="82">
      <calculatedColumnFormula>4.0779/10*1.00202</calculatedColumnFormula>
    </tableColumn>
    <tableColumn id="8" xr3:uid="{B8067BA5-D5FD-42CC-86F1-C0287FDE732D}" name="aAu" dataDxfId="81">
      <calculatedColumnFormula>4.0703/10*1.00202</calculatedColumnFormula>
    </tableColumn>
    <tableColumn id="9" xr3:uid="{C01DCBA3-A4E1-420B-9BF0-D2C9220162D9}" name="aRu" dataDxfId="80">
      <calculatedColumnFormula>2.7003/10*1.00202*2^0.5</calculatedColumnFormula>
    </tableColumn>
    <tableColumn id="10" xr3:uid="{C5E85D34-44BC-4F34-ABAB-69B17FC9AC5A}" name="aAlloy">
      <calculatedColumnFormula>B287*F287+C287*G287+D287*H287+E287*I287</calculatedColumnFormula>
    </tableColumn>
    <tableColumn id="11" xr3:uid="{673A50FB-86B7-4F8C-8566-2A0748CA67BB}" name="Reference"/>
    <tableColumn id="12" xr3:uid="{DE579D63-5EE1-4531-992C-5EFDA4324C52}" name="doi"/>
  </tableColumns>
  <tableStyleInfo name="TableStyleMedium15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F9FA7BB-BAC0-4750-B0FD-995DE0256BCD}" name="Table23" displayName="Table23" ref="A291:J292" totalsRowShown="0">
  <autoFilter ref="A291:J292" xr:uid="{9F9FA7BB-BAC0-4750-B0FD-995DE0256BCD}"/>
  <tableColumns count="10">
    <tableColumn id="1" xr3:uid="{A8754DEB-CC6A-4B13-BFA6-27B0F7DE3E15}" name="Alloy"/>
    <tableColumn id="2" xr3:uid="{B81E4BDD-68C7-4521-A354-8BB5A3B71250}" name="XPd">
      <calculatedColumnFormula>81.18/100</calculatedColumnFormula>
    </tableColumn>
    <tableColumn id="3" xr3:uid="{69C50A49-28E6-4599-A43C-A086C7E23178}" name="XAu">
      <calculatedColumnFormula>15.66/100</calculatedColumnFormula>
    </tableColumn>
    <tableColumn id="4" xr3:uid="{73A59FC3-233D-48E2-95B6-3F349FB07B1B}" name="XPt">
      <calculatedColumnFormula>3.16/100</calculatedColumnFormula>
    </tableColumn>
    <tableColumn id="5" xr3:uid="{C336DDDF-AF7B-475E-A6A3-E6F2C11A65FE}" name="aPd"/>
    <tableColumn id="6" xr3:uid="{1F8BFDAF-F254-4319-9CA9-9A37EC90F16F}" name="aAu" dataDxfId="79">
      <calculatedColumnFormula>4.0703/10*1.00202</calculatedColumnFormula>
    </tableColumn>
    <tableColumn id="7" xr3:uid="{B67C6029-AB3C-47E2-A504-200E8C835C55}" name="aPt">
      <calculatedColumnFormula>3.916/10*1.00202</calculatedColumnFormula>
    </tableColumn>
    <tableColumn id="10" xr3:uid="{44EE9F05-9A26-43D4-AE96-1EB0002E4F94}" name="aAlloy">
      <calculatedColumnFormula>Table23[[#This Row],[XPd]]*Table23[[#This Row],[aPd]]+Table23[[#This Row],[XAu]]*Table23[[#This Row],[aAu]]+Table23[[#This Row],[XPt]]*Table23[[#This Row],[aPt]]</calculatedColumnFormula>
    </tableColumn>
    <tableColumn id="8" xr3:uid="{6139CF77-CEB0-4EE5-AEBF-9A299B99140F}" name="reference"/>
    <tableColumn id="9" xr3:uid="{9B4F4931-9D4C-4CF6-A00E-E3BA90B2B54C}" name="doi"/>
  </tableColumns>
  <tableStyleInfo name="TableStyleMedium15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B50F738-190D-4082-97D5-0C2807593A19}" name="Table24" displayName="Table24" ref="A297:J298" totalsRowShown="0" headerRowDxfId="78" headerRowBorderDxfId="77" tableBorderDxfId="76">
  <autoFilter ref="A297:J298" xr:uid="{EB50F738-190D-4082-97D5-0C2807593A19}"/>
  <tableColumns count="10">
    <tableColumn id="1" xr3:uid="{CDF964AD-CCC2-4EA1-B011-9507B3CD4117}" name="Alloy"/>
    <tableColumn id="2" xr3:uid="{1B19A411-BC7C-43FF-A944-8AC44FBA3F88}" name="XPd">
      <calculatedColumnFormula>78.94/100</calculatedColumnFormula>
    </tableColumn>
    <tableColumn id="3" xr3:uid="{FB331EDE-8BD2-4777-BE48-CBE2B65A0777}" name="XAu">
      <calculatedColumnFormula>15.23/100</calculatedColumnFormula>
    </tableColumn>
    <tableColumn id="4" xr3:uid="{481C2D36-C0DB-4509-9872-4B2B4F29F45E}" name="XRh">
      <calculatedColumnFormula>5.83/100</calculatedColumnFormula>
    </tableColumn>
    <tableColumn id="5" xr3:uid="{12606621-5D7E-4E8A-A8EC-556407596EEF}" name="aPdPd" dataDxfId="75"/>
    <tableColumn id="6" xr3:uid="{938A179F-521A-4820-9C25-4E21AA811EE8}" name="aAu" dataDxfId="74">
      <calculatedColumnFormula>4.0703/10*1.00202</calculatedColumnFormula>
    </tableColumn>
    <tableColumn id="7" xr3:uid="{F6A080F7-1FC6-4A94-B077-82D53575CD08}" name="aRh">
      <calculatedColumnFormula>3.7968*1.00202/10</calculatedColumnFormula>
    </tableColumn>
    <tableColumn id="8" xr3:uid="{39D9BAF6-3513-4AE6-B7D3-66FFD63D36EF}" name="aAlloy">
      <calculatedColumnFormula>B298*E298+C298*F298+D298*G298</calculatedColumnFormula>
    </tableColumn>
    <tableColumn id="9" xr3:uid="{871ECFA0-D13C-4F6B-8066-7B37CA862C9A}" name="reference"/>
    <tableColumn id="10" xr3:uid="{825CA136-5F5A-4C85-9806-61FEC323AC75}" name="doi"/>
  </tableColumns>
  <tableStyleInfo name="TableStyleMedium15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870DCDE-4476-4F73-BF5F-89149C2C053C}" name="Table25" displayName="Table25" ref="A301:J303" totalsRowShown="0" headerRowDxfId="73" dataDxfId="71" headerRowBorderDxfId="72" tableBorderDxfId="70">
  <autoFilter ref="A301:J303" xr:uid="{9870DCDE-4476-4F73-BF5F-89149C2C053C}"/>
  <tableColumns count="10">
    <tableColumn id="1" xr3:uid="{751C8E86-D46E-4C02-8FC5-5753189B69F4}" name="Alloy"/>
    <tableColumn id="2" xr3:uid="{C51A0D0D-BF6C-4C4C-90E3-7A8A2E5A7E3F}" name="XPd" dataDxfId="69">
      <calculatedColumnFormula>68.24/100</calculatedColumnFormula>
    </tableColumn>
    <tableColumn id="3" xr3:uid="{B44215DE-1281-46C7-97B5-DF181F35F112}" name="XAg" dataDxfId="68">
      <calculatedColumnFormula>29.69/100</calculatedColumnFormula>
    </tableColumn>
    <tableColumn id="4" xr3:uid="{29FB29E1-3049-465A-808B-4C1917F6F609}" name="XRh" dataDxfId="67">
      <calculatedColumnFormula>2.08/100</calculatedColumnFormula>
    </tableColumn>
    <tableColumn id="5" xr3:uid="{39876A5D-5F02-45BD-8AFF-285839C7BC33}" name="aPdPd"/>
    <tableColumn id="6" xr3:uid="{85E19C43-523B-4DAB-BC5D-9737CB414B7C}" name="aAg" dataDxfId="66">
      <calculatedColumnFormula>4.0779/10*1.00202</calculatedColumnFormula>
    </tableColumn>
    <tableColumn id="7" xr3:uid="{04CC9BF2-EC53-418A-AF97-0E81C2D4CF0D}" name="aRh" dataDxfId="65">
      <calculatedColumnFormula>3.7968*1.00202/10</calculatedColumnFormula>
    </tableColumn>
    <tableColumn id="8" xr3:uid="{9417ED52-EA29-41A8-9099-6FB5BEA19817}" name="aAlloy">
      <calculatedColumnFormula>B302*E302+C302*F302+D302*G302</calculatedColumnFormula>
    </tableColumn>
    <tableColumn id="9" xr3:uid="{542FBD64-15BE-4334-AB8A-F4B3764E8600}" name="reference" dataDxfId="64"/>
    <tableColumn id="10" xr3:uid="{B9A6B40F-E90E-4822-A012-3012AA1D8D97}" name="doi" dataDxfId="63"/>
  </tableColumns>
  <tableStyleInfo name="TableStyleMedium15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FA0FE56-7BC7-46E3-9CBE-E05DABF3E290}" name="Table26" displayName="Table26" ref="A307:J308" totalsRowShown="0" headerRowDxfId="62" headerRowBorderDxfId="61" tableBorderDxfId="60">
  <autoFilter ref="A307:J308" xr:uid="{EFA0FE56-7BC7-46E3-9CBE-E05DABF3E290}"/>
  <tableColumns count="10">
    <tableColumn id="1" xr3:uid="{0B5A8696-6D2C-404F-A15C-85BD63D616E3}" name="Alloy"/>
    <tableColumn id="2" xr3:uid="{BC3A7443-96BA-4868-B2F7-E16A30E170E5}" name="XPd">
      <calculatedColumnFormula>68.9/100</calculatedColumnFormula>
    </tableColumn>
    <tableColumn id="3" xr3:uid="{1E4A90D2-B000-49DE-8B54-DB3ACFFC7B30}" name="XAg">
      <calculatedColumnFormula>29.98/100</calculatedColumnFormula>
    </tableColumn>
    <tableColumn id="4" xr3:uid="{144C40B5-A154-477E-A0A0-12C9D467E5E7}" name="XIr">
      <calculatedColumnFormula>1.12/100</calculatedColumnFormula>
    </tableColumn>
    <tableColumn id="5" xr3:uid="{4644A650-FB90-45D7-AB0C-26B14DF50161}" name="aPdPd"/>
    <tableColumn id="6" xr3:uid="{D8C1AD0B-5A64-4D85-8F98-B71D794F1246}" name="aAg" dataDxfId="59">
      <calculatedColumnFormula>4.0779/10*1.00202</calculatedColumnFormula>
    </tableColumn>
    <tableColumn id="7" xr3:uid="{D8EE484F-1020-4A76-8588-9C3B6B4EA7BF}" name="aIr">
      <calculatedColumnFormula>3.831*1.00202/10</calculatedColumnFormula>
    </tableColumn>
    <tableColumn id="8" xr3:uid="{77791B64-951D-4B81-9BD1-CFC81CD89FDB}" name="aAlloy">
      <calculatedColumnFormula>B308*E308+C308*F308+D308*G308</calculatedColumnFormula>
    </tableColumn>
    <tableColumn id="9" xr3:uid="{B30BC07E-6856-4F70-AF8C-776A5CFD31B0}" name="reference" dataDxfId="58"/>
    <tableColumn id="10" xr3:uid="{DC564B01-0B8E-4D39-A088-ED1C227F772D}" name="doi" dataDxfId="57"/>
  </tableColumns>
  <tableStyleInfo name="TableStyleMedium15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786D191-777D-4779-A22D-C095C1DB1DBF}" name="Table27" displayName="Table27" ref="A313:L314" totalsRowShown="0" headerRowDxfId="56">
  <autoFilter ref="A313:L314" xr:uid="{3786D191-777D-4779-A22D-C095C1DB1DBF}"/>
  <tableColumns count="12">
    <tableColumn id="1" xr3:uid="{78A9B60D-C26B-4EB8-956E-FD3D0C181582}" name="Alloy"/>
    <tableColumn id="2" xr3:uid="{F64A3B2F-C820-4932-8516-C2FFF9194335}" name="XPd">
      <calculatedColumnFormula>68.226/100</calculatedColumnFormula>
    </tableColumn>
    <tableColumn id="3" xr3:uid="{829D5935-2B70-4FD8-9B04-FACA779433F0}" name="XCu">
      <calculatedColumnFormula>17.574/100</calculatedColumnFormula>
    </tableColumn>
    <tableColumn id="4" xr3:uid="{F273D7BF-A84F-4C64-96CA-C87BB23C1555}" name="XAu">
      <calculatedColumnFormula>11.338/100</calculatedColumnFormula>
    </tableColumn>
    <tableColumn id="5" xr3:uid="{5BBC092D-4766-4BE0-917C-C647E7AC3B53}" name="XPt">
      <calculatedColumnFormula>2.862/100</calculatedColumnFormula>
    </tableColumn>
    <tableColumn id="6" xr3:uid="{10751F53-2934-4862-9EAD-BE1CEE6B066B}" name="aPdPd"/>
    <tableColumn id="7" xr3:uid="{C93DE79E-3B16-4924-B32E-C4A7C752AF47}" name="aCu" dataDxfId="55">
      <calculatedColumnFormula>3.6074*1.00202/10</calculatedColumnFormula>
    </tableColumn>
    <tableColumn id="8" xr3:uid="{C7263650-85BB-467D-9872-324C3185A158}" name="aAu" dataDxfId="54">
      <calculatedColumnFormula>4.0703/10*1.00202</calculatedColumnFormula>
    </tableColumn>
    <tableColumn id="9" xr3:uid="{373524CE-6AB9-4B08-AC8D-1AF94AD409CC}" name="aPt" dataDxfId="53">
      <calculatedColumnFormula>3.916/10*1.00202</calculatedColumnFormula>
    </tableColumn>
    <tableColumn id="10" xr3:uid="{C7A83AFD-51B7-49F2-8CB0-AA4B60549A15}" name="aAlloy">
      <calculatedColumnFormula>Table27[[#This Row],[XPd]]*Table27[[#This Row],[aPdPd]]+Table27[[#This Row],[XCu]]*Table27[[#This Row],[aCu]]+Table27[[#This Row],[XAu]]*Table27[[#This Row],[aAu]]+Table27[[#This Row],[XPt]]*Table27[[#This Row],[aPt]]</calculatedColumnFormula>
    </tableColumn>
    <tableColumn id="11" xr3:uid="{22E52280-4FB7-4B42-8E2C-6AFF58C62BC5}" name="reference" dataDxfId="52"/>
    <tableColumn id="12" xr3:uid="{1E25C0F6-F937-4958-BBEE-AE74FB2C7175}" name="doi" dataDxfId="51"/>
  </tableColumns>
  <tableStyleInfo name="TableStyleMedium15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7EF6EDE9-4445-4B3C-8BA3-C112A6B5438D}" name="Table28" displayName="Table28" ref="A319:R320" totalsRowShown="0" headerRowDxfId="50" tableBorderDxfId="49">
  <autoFilter ref="A319:R320" xr:uid="{7EF6EDE9-4445-4B3C-8BA3-C112A6B5438D}"/>
  <tableColumns count="18">
    <tableColumn id="1" xr3:uid="{BA526AC4-9050-44CE-8B84-CF704896E544}" name="Alloy"/>
    <tableColumn id="2" xr3:uid="{5ECD0AB4-291C-4E40-B1A7-39CBD5A7390C}" name="XPd">
      <calculatedColumnFormula>66.712/100</calculatedColumnFormula>
    </tableColumn>
    <tableColumn id="3" xr3:uid="{296641CD-6486-47CC-8DEC-66E3C8E19931}" name="XCu">
      <calculatedColumnFormula>17.184/100</calculatedColumnFormula>
    </tableColumn>
    <tableColumn id="4" xr3:uid="{8BB292AD-BB55-4843-BCEA-F0B35CE95EFA}" name="XAu">
      <calculatedColumnFormula>11.087/100</calculatedColumnFormula>
    </tableColumn>
    <tableColumn id="5" xr3:uid="{6F213413-9E42-437A-B8DB-AF662E393CDE}" name="XPt">
      <calculatedColumnFormula>0.56/100</calculatedColumnFormula>
    </tableColumn>
    <tableColumn id="6" xr3:uid="{6730A97B-69B8-4793-99A3-88806F742F08}" name="XRh">
      <calculatedColumnFormula>2.123/100</calculatedColumnFormula>
    </tableColumn>
    <tableColumn id="7" xr3:uid="{3A0A3838-50C7-4A3E-9C12-0EE3CB02761F}" name="XRu">
      <calculatedColumnFormula>1.944/100</calculatedColumnFormula>
    </tableColumn>
    <tableColumn id="8" xr3:uid="{BE0A0143-26A2-4E6B-A9CB-CF34BD846FDF}" name="XFe">
      <calculatedColumnFormula>0.391/100</calculatedColumnFormula>
    </tableColumn>
    <tableColumn id="9" xr3:uid="{C48E4492-2760-484C-B25C-204CAC29BDEB}" name="aPdPd" dataDxfId="48"/>
    <tableColumn id="10" xr3:uid="{3D804FE8-C687-4597-8B3B-85FB70A2B817}" name="aCu" dataDxfId="47">
      <calculatedColumnFormula>3.6074*1.00202/10</calculatedColumnFormula>
    </tableColumn>
    <tableColumn id="11" xr3:uid="{0650F84D-0C2C-4EC7-BCEB-4F1E9D51FD03}" name="aAu" dataDxfId="46">
      <calculatedColumnFormula>4.0703/10*1.00202</calculatedColumnFormula>
    </tableColumn>
    <tableColumn id="12" xr3:uid="{50E30400-D6A7-419F-9556-582CF20DB385}" name="aPt" dataDxfId="45">
      <calculatedColumnFormula>3.916/10*1.00202</calculatedColumnFormula>
    </tableColumn>
    <tableColumn id="13" xr3:uid="{CDBB9A7E-9374-4FD5-9404-0DBBFECE7867}" name="aRh" dataDxfId="44">
      <calculatedColumnFormula>3.7968*1.00202/10</calculatedColumnFormula>
    </tableColumn>
    <tableColumn id="14" xr3:uid="{E069F73E-8099-418E-93B1-C371822E05D0}" name="aRu" dataDxfId="43">
      <calculatedColumnFormula>2.7003/10*1.00202*2^0.5</calculatedColumnFormula>
    </tableColumn>
    <tableColumn id="15" xr3:uid="{97F433B9-AC08-41AA-ABA2-DA771745C1E5}" name="aFe">
      <calculatedColumnFormula>2.8605*1.00202/10</calculatedColumnFormula>
    </tableColumn>
    <tableColumn id="16" xr3:uid="{B59766B4-3AC1-4523-BBAE-A0F06601FED6}" name="aAlloy">
      <calculatedColumnFormula>B320*I320+C320*J320+D320*K320+E320*L320+F320*M320+G320*N320+H320*O320</calculatedColumnFormula>
    </tableColumn>
    <tableColumn id="17" xr3:uid="{CC9C2B9A-040E-435E-919E-5089589AD902}" name="reference" dataDxfId="42"/>
    <tableColumn id="18" xr3:uid="{861E68F9-C9A7-4163-ACB8-574805077FA9}" name="doi" dataDxfId="41"/>
  </tableColumns>
  <tableStyleInfo name="TableStyleMedium15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61EC348-3FD8-45D4-9298-3CC60C016BC3}" name="Table30" displayName="Table30" ref="A325:L327" totalsRowShown="0" headerRowDxfId="40" headerRowBorderDxfId="39" tableBorderDxfId="38">
  <autoFilter ref="A325:L327" xr:uid="{061EC348-3FD8-45D4-9298-3CC60C016BC3}"/>
  <tableColumns count="12">
    <tableColumn id="1" xr3:uid="{F1893DF8-AC10-4FB9-9982-154C836AD653}" name="Alloy"/>
    <tableColumn id="2" xr3:uid="{D7615D34-90F6-480B-87CE-A9622C432305}" name="XPd"/>
    <tableColumn id="3" xr3:uid="{9899C5BC-B897-4B29-A889-66EA65F6E9E0}" name="XIn"/>
    <tableColumn id="4" xr3:uid="{B06EC335-0594-4CD9-AF97-612BFD33A771}" name="XRu"/>
    <tableColumn id="5" xr3:uid="{BFD6CD86-F513-4E25-BAB9-8CE2F6F2A20D}" name="XCo"/>
    <tableColumn id="6" xr3:uid="{80159D0A-00E0-4733-81C5-CCA47AB9A5D9}" name="aPdPd"/>
    <tableColumn id="7" xr3:uid="{BEDD31CB-CA66-4B73-842C-C69A320F5E4E}" name="aIn">
      <calculatedColumnFormula>(((4.5886*1.00202)^2*(4.9367*1.00202))^(1/3))/10</calculatedColumnFormula>
    </tableColumn>
    <tableColumn id="8" xr3:uid="{7DEDC302-2D71-4E47-ADB2-3F875DDBBCD0}" name="aRu">
      <calculatedColumnFormula>2.7003/10*1.00202*2^0.5</calculatedColumnFormula>
    </tableColumn>
    <tableColumn id="9" xr3:uid="{2F1A3448-4260-49DE-AE61-6D7A2BF51795}" name="aCo">
      <calculatedColumnFormula>3.537*1.00202/10</calculatedColumnFormula>
    </tableColumn>
    <tableColumn id="10" xr3:uid="{0B960D07-BBFF-4F35-875A-26FB1BE94B91}" name="aAlloy">
      <calculatedColumnFormula>Table30[[#This Row],[XPd]]*Table30[[#This Row],[aPdPd]]+Table30[[#This Row],[XIn]]*Table30[[#This Row],[aIn]]+Table30[[#This Row],[XRu]]*Table30[[#This Row],[aRu]]+Table30[[#This Row],[XCo]]*Table30[[#This Row],[aCo]]</calculatedColumnFormula>
    </tableColumn>
    <tableColumn id="11" xr3:uid="{17129145-B04F-4E20-A2DF-C073ADA3AFBD}" name="reference"/>
    <tableColumn id="12" xr3:uid="{754E6F24-A633-4CD0-B619-74E441F5946A}" name="doi"/>
  </tableColumns>
  <tableStyleInfo name="TableStyleMedium15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EFA905EB-69DE-438A-AE0D-32FF036C5981}" name="Table31" displayName="Table31" ref="A331:J336" totalsRowShown="0" headerRowDxfId="37" headerRowBorderDxfId="36" tableBorderDxfId="35">
  <autoFilter ref="A331:J336" xr:uid="{EFA905EB-69DE-438A-AE0D-32FF036C5981}"/>
  <tableColumns count="10">
    <tableColumn id="1" xr3:uid="{44E347D8-9805-4970-BE70-AAFB876E0F12}" name="Alloy"/>
    <tableColumn id="2" xr3:uid="{78C9EF61-43AB-4F76-B40F-F95FD627A810}" name="XPd"/>
    <tableColumn id="3" xr3:uid="{6E99EA66-2A50-4428-B614-8A2B44D3E245}" name="XCu"/>
    <tableColumn id="4" xr3:uid="{468DFF0F-5D94-4480-A5C0-9ECEEB2B882B}" name="XMn"/>
    <tableColumn id="5" xr3:uid="{FB2F64EF-37FB-4603-BB11-8927B8666F07}" name="aPdPd"/>
    <tableColumn id="6" xr3:uid="{CEFB208E-AEF3-4022-B817-CB1BE8298EFD}" name="aCu" dataDxfId="34">
      <calculatedColumnFormula>3.6074*1.00202/10</calculatedColumnFormula>
    </tableColumn>
    <tableColumn id="7" xr3:uid="{861E4C86-60D1-484F-825A-73DB5EB9FF01}" name="aMn">
      <calculatedColumnFormula>8.895*1.00202/10</calculatedColumnFormula>
    </tableColumn>
    <tableColumn id="8" xr3:uid="{AD29BA2F-E46D-4DF6-AB77-7F9E7F4A0367}" name="aAlloy">
      <calculatedColumnFormula>B332*E332+C332*F332+D332*G332</calculatedColumnFormula>
    </tableColumn>
    <tableColumn id="9" xr3:uid="{2903C073-5514-48B1-859E-02C06547EFD8}" name="reference"/>
    <tableColumn id="10" xr3:uid="{526F0CD8-D13E-419E-86DB-F0FC69B3F793}" name="doi"/>
  </tableColumns>
  <tableStyleInfo name="TableStyleMedium15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73FDCA2F-8D2F-4034-A56D-B0689A5CB90B}" name="Table29" displayName="Table29" ref="A339:K344" totalsRowShown="0">
  <autoFilter ref="A339:K344" xr:uid="{73FDCA2F-8D2F-4034-A56D-B0689A5CB90B}"/>
  <tableColumns count="11">
    <tableColumn id="1" xr3:uid="{9D0FECC0-E02E-4A11-B243-A933F3489E42}" name="Alloy (PdxCuy)(1-z)Mnz" dataDxfId="33"/>
    <tableColumn id="2" xr3:uid="{A9D2FFFF-B53D-438B-B78D-019A8077F20B}" name="XPd"/>
    <tableColumn id="3" xr3:uid="{1253E7E5-3022-4DF3-8A6E-58C60BCAC0E6}" name="XCu"/>
    <tableColumn id="4" xr3:uid="{D6D563F4-86F6-428A-A05A-25FC591494D9}" name="XMn"/>
    <tableColumn id="5" xr3:uid="{AF29031C-CB67-4684-91B8-0F2690169BED}" name="aPdxCuy(BCC)" dataDxfId="32">
      <calculatedColumnFormula xml:space="preserve"> (1.57*0.001)*B340 + 2.9</calculatedColumnFormula>
    </tableColumn>
    <tableColumn id="6" xr3:uid="{893A18F9-D273-4512-B416-6C6FB9BB4358}" name="(1-XMn)">
      <calculatedColumnFormula>1-D340/100</calculatedColumnFormula>
    </tableColumn>
    <tableColumn id="7" xr3:uid="{A4F2B59D-69AF-4DE7-890C-E88CB7117EB5}" name="aMn" dataDxfId="31">
      <calculatedColumnFormula>8.895*1.00202/10</calculatedColumnFormula>
    </tableColumn>
    <tableColumn id="8" xr3:uid="{824F7A46-011F-4FF9-BCB8-FF330AF57112}" name="aAlloy (A)">
      <calculatedColumnFormula>F340*E340+D340/100*G340</calculatedColumnFormula>
    </tableColumn>
    <tableColumn id="9" xr3:uid="{3FBF8772-17CF-4D2D-AE2A-D73C40B6240E}" name="aAlloy(nm)">
      <calculatedColumnFormula>Table29[[#This Row],[aAlloy (A)]]/10</calculatedColumnFormula>
    </tableColumn>
    <tableColumn id="10" xr3:uid="{357CBD0D-1A5D-44D5-B655-19E041AE6F9F}" name="Reference"/>
    <tableColumn id="11" xr3:uid="{DBF9B91A-E15A-4009-80FF-7A887DF68758}" name="doi"/>
  </tableColumns>
  <tableStyleInfo name="TableStyleMedium15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A212447-7F87-4C2E-8F7F-5C0FF84D4616}" name="Table32" displayName="Table32" ref="A394:L396" totalsRowShown="0">
  <autoFilter ref="A394:L396" xr:uid="{2A212447-7F87-4C2E-8F7F-5C0FF84D4616}"/>
  <tableColumns count="12">
    <tableColumn id="1" xr3:uid="{68A21A8F-14A8-4D12-8FDF-342D9EC3A3EF}" name="Alloy (PdxAgy)(1-z)Hoz" dataDxfId="30"/>
    <tableColumn id="2" xr3:uid="{821E7163-97A0-489D-8265-4F74963176A8}" name="XPd"/>
    <tableColumn id="3" xr3:uid="{B8CA9BAF-5CA9-4C1A-8E06-6402B794002F}" name="XAg"/>
    <tableColumn id="4" xr3:uid="{B509D419-47B7-4C71-A447-C460E964B240}" name="XHo "/>
    <tableColumn id="5" xr3:uid="{1C1E12BB-33AC-4C5A-AF38-97FB7DAB541E}" name="XPd/(1-XHo/100)">
      <calculatedColumnFormula>Table32[[#This Row],[XPd]]/(1-Table32[[#This Row],[XHo ]]/100)</calculatedColumnFormula>
    </tableColumn>
    <tableColumn id="6" xr3:uid="{D696E798-3661-4C9D-8FE6-11D389EB8975}" name="XAg/(1-XHo/100)">
      <calculatedColumnFormula>Table32[[#This Row],[XAg]]/(1-Table32[[#This Row],[XHo ]]/100)</calculatedColumnFormula>
    </tableColumn>
    <tableColumn id="7" xr3:uid="{5FC389A6-659C-4360-AF1B-D77FAE669935}" name="aPdxAgy(FCC)">
      <calculatedColumnFormula>0.3887+(1.93*0.0001)*Table32[[#This Row],[XAg/(1-XHo/100)]]</calculatedColumnFormula>
    </tableColumn>
    <tableColumn id="8" xr3:uid="{18222468-2A13-4FB3-A70E-C000B431B182}" name="(1-XHo)">
      <calculatedColumnFormula>1-Table32[[#This Row],[XHo ]]/100</calculatedColumnFormula>
    </tableColumn>
    <tableColumn id="9" xr3:uid="{DB11DE8B-7E67-48AC-A0B3-722B32A0FF13}" name="aHo">
      <calculatedColumnFormula xml:space="preserve"> 3.5773*2^0.5</calculatedColumnFormula>
    </tableColumn>
    <tableColumn id="10" xr3:uid="{A87FD891-C103-48F0-B016-D01DF06EF7EC}" name="aAlloy">
      <calculatedColumnFormula>Table32[[#This Row],[(1-XHo)]]*Table32[[#This Row],[aPdxAgy(FCC)]]+Table32[[#This Row],[XHo ]]/100*Table32[[#This Row],[aHo]]</calculatedColumnFormula>
    </tableColumn>
    <tableColumn id="11" xr3:uid="{F14541FF-5F82-4C1F-9264-B7952D3D073B}" name="Reference"/>
    <tableColumn id="12" xr3:uid="{809B39E7-E3BF-4557-A61C-AC831656A517}" name="doi"/>
  </tableColumns>
  <tableStyleInfo name="TableStyleMedium15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289B698C-9FA0-48FB-804B-01B7C121E64F}" name="Table33" displayName="Table33" ref="A350:M391" totalsRowShown="0">
  <autoFilter ref="A350:M391" xr:uid="{289B698C-9FA0-48FB-804B-01B7C121E64F}"/>
  <tableColumns count="13">
    <tableColumn id="1" xr3:uid="{C7723CF5-9D6F-46B6-8402-C84BEA26876C}" name="Alloy (PdxCuy)(1-z)Alz" dataDxfId="29"/>
    <tableColumn id="2" xr3:uid="{94270E0A-7FB1-4253-95DC-254C6C38FE81}" name="XPd" dataDxfId="28"/>
    <tableColumn id="3" xr3:uid="{ADC8643D-E0EE-4A6B-AFEC-63CF5E3A389E}" name="XCu" dataDxfId="27"/>
    <tableColumn id="4" xr3:uid="{57E4C3A9-7AB8-47F1-97FD-4BAD80408E84}" name="XAl " dataDxfId="26"/>
    <tableColumn id="5" xr3:uid="{8C575C7C-3E21-4782-A6D0-86A8EC8FC765}" name="XPd/(1-XAl/100)" dataDxfId="25">
      <calculatedColumnFormula>B351/(1-D351/100)</calculatedColumnFormula>
    </tableColumn>
    <tableColumn id="6" xr3:uid="{8BA605B8-CDF8-4871-802F-056ED8672FE9}" name="XCu/(1-XCu/100)" dataDxfId="24">
      <calculatedColumnFormula>C351/(1-D351/100)</calculatedColumnFormula>
    </tableColumn>
    <tableColumn id="7" xr3:uid="{1FEC5996-FE2F-4B29-97A6-C60AD34F7A60}" name="aPdxCuy(BCC)" dataDxfId="23">
      <calculatedColumnFormula>(1.57*0.001)*E351 + 2.9</calculatedColumnFormula>
    </tableColumn>
    <tableColumn id="8" xr3:uid="{934B7C76-E1EF-4F68-A1BF-12487199AFE2}" name="(1-XAl)" dataDxfId="22">
      <calculatedColumnFormula>1-D351/100</calculatedColumnFormula>
    </tableColumn>
    <tableColumn id="9" xr3:uid="{EAB987A2-3C16-4CE4-B3E7-3A25BD194AEA}" name="aAl" dataDxfId="21">
      <calculatedColumnFormula>4.0413/10*1.00202</calculatedColumnFormula>
    </tableColumn>
    <tableColumn id="10" xr3:uid="{427A21B7-BA7B-456C-8F8E-C6CE1C01344B}" name="aAlloy(A)" dataDxfId="20">
      <calculatedColumnFormula>H351*G351+D351*I351/100</calculatedColumnFormula>
    </tableColumn>
    <tableColumn id="11" xr3:uid="{39EA23C1-63FD-4104-8B23-74999E99E45D}" name="aAlloy(nm)" dataDxfId="19">
      <calculatedColumnFormula>J351/10</calculatedColumnFormula>
    </tableColumn>
    <tableColumn id="12" xr3:uid="{BDBC92E6-991D-455B-B7C8-44A6DB57075C}" name="Reference" dataDxfId="18"/>
    <tableColumn id="13" xr3:uid="{F9B37D5E-C7A1-4536-BE3D-AC7285057F30}" name="doi" dataDxfId="17"/>
  </tableColumns>
  <tableStyleInfo name="TableStyleMedium15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F5E5DFEF-7AC2-4C9A-9B31-1D78545EC966}" name="Table34" displayName="Table34" ref="A400:M401" totalsRowShown="0" headerRowDxfId="16">
  <autoFilter ref="A400:M401" xr:uid="{F5E5DFEF-7AC2-4C9A-9B31-1D78545EC966}"/>
  <tableColumns count="13">
    <tableColumn id="1" xr3:uid="{75CF66A2-74E7-4240-8F2B-582E2833B321}" name="Alloy (PdxCuy)(1-z)Hoz" dataDxfId="15"/>
    <tableColumn id="2" xr3:uid="{25CC8F04-663B-4590-AC0C-CE4FEE8E463C}" name="XPd"/>
    <tableColumn id="3" xr3:uid="{07F59E4B-8A09-4A88-84B4-F8FAF0917BBA}" name="XCu"/>
    <tableColumn id="4" xr3:uid="{A0C819F9-18D8-4BB3-99CD-EBDA81C2CDD7}" name="XHo "/>
    <tableColumn id="5" xr3:uid="{E3507693-F1AF-41F1-896B-90F2BF0A6CE9}" name="XPd/(1-XHo/100)">
      <calculatedColumnFormula>B401/(1-D401/100)</calculatedColumnFormula>
    </tableColumn>
    <tableColumn id="6" xr3:uid="{4FED2C2C-A9B4-457A-AE74-3CA2A47A5C97}" name="XCu/(1-XHo/100)">
      <calculatedColumnFormula>C401/(1-D401/100)</calculatedColumnFormula>
    </tableColumn>
    <tableColumn id="7" xr3:uid="{7987168A-420F-408C-BDD6-CE05C7D41017}" name="aPdxCuy(BCC)">
      <calculatedColumnFormula>(2.75*0.001)*E401+3.62</calculatedColumnFormula>
    </tableColumn>
    <tableColumn id="8" xr3:uid="{C3259195-2CB9-4A97-8701-889888C6C77D}" name="(1-XHo)">
      <calculatedColumnFormula>1-D401/100</calculatedColumnFormula>
    </tableColumn>
    <tableColumn id="9" xr3:uid="{172D448E-FE2A-4D0B-9637-D4F925BB6394}" name="aHo" dataDxfId="14">
      <calculatedColumnFormula xml:space="preserve"> 3.5773*2^0.5/10</calculatedColumnFormula>
    </tableColumn>
    <tableColumn id="10" xr3:uid="{5AB608CA-84EC-4F55-BBE7-61315FA26B72}" name="aAlloy(A)">
      <calculatedColumnFormula>H401*G401+D401*I401/100</calculatedColumnFormula>
    </tableColumn>
    <tableColumn id="11" xr3:uid="{BCDC8D67-7A17-4C8B-AFB1-9B3A5654F3A2}" name="aAlloy(nm)">
      <calculatedColumnFormula>J401/10</calculatedColumnFormula>
    </tableColumn>
    <tableColumn id="12" xr3:uid="{A8141871-01E9-4ED6-9449-4CB04132FDB8}" name="Reference"/>
    <tableColumn id="13" xr3:uid="{49DD12C9-E272-49CA-AFD5-7EBD90E7ED79}" name="doi"/>
  </tableColumns>
  <tableStyleInfo name="TableStyleMedium15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100E51C0-76B6-4163-8453-A382368BCE02}" name="Table35" displayName="Table35" ref="A413:M416" totalsRowShown="0" headerRowDxfId="13" headerRowBorderDxfId="12" tableBorderDxfId="11">
  <autoFilter ref="A413:M416" xr:uid="{100E51C0-76B6-4163-8453-A382368BCE02}"/>
  <tableColumns count="13">
    <tableColumn id="1" xr3:uid="{4E6FD0CE-B82D-41EB-B459-D59F7CF350F1}" name="Alloy (PdxCuy)(1-z)Gaz" dataDxfId="10"/>
    <tableColumn id="2" xr3:uid="{42822B98-77BC-48E8-B1B6-80582A5E8E76}" name="XPd"/>
    <tableColumn id="3" xr3:uid="{F522C3F6-0B31-48F6-A9B1-41417029CEB6}" name="XCu"/>
    <tableColumn id="4" xr3:uid="{BDCBE8D9-E180-4023-A7BB-2EF3730DC62A}" name="XGa"/>
    <tableColumn id="5" xr3:uid="{2967E888-0492-4555-9C20-B4B710018A1B}" name="XPd/(1-XIn/100)">
      <calculatedColumnFormula>B414/(1-D414/100)</calculatedColumnFormula>
    </tableColumn>
    <tableColumn id="6" xr3:uid="{27665B85-E6F9-4F2B-A629-BD4CB3301DF0}" name="XCu/(1-XGa/100)">
      <calculatedColumnFormula>C414/(1-D414/100)</calculatedColumnFormula>
    </tableColumn>
    <tableColumn id="7" xr3:uid="{94CF801E-DD9D-4D78-81AE-EE7E6826D7CD}" name="aPdxCuy(BCC)">
      <calculatedColumnFormula>(1.57*0.001)*E414+2.9</calculatedColumnFormula>
    </tableColumn>
    <tableColumn id="8" xr3:uid="{698B1830-893D-4FFA-86BB-F19A74219CAA}" name="(1-XGa)">
      <calculatedColumnFormula>1-D414/100</calculatedColumnFormula>
    </tableColumn>
    <tableColumn id="9" xr3:uid="{AB564C2B-AFAA-4B1E-9F78-4488F3EC70CF}" name="aGa">
      <calculatedColumnFormula>(4.5258*4.5186*7.657)^(1/3)</calculatedColumnFormula>
    </tableColumn>
    <tableColumn id="10" xr3:uid="{65F71518-DD25-4312-BEDA-CE39AFAFD50A}" name="aAlloy(A)">
      <calculatedColumnFormula>H414*G414+D414/100*I414</calculatedColumnFormula>
    </tableColumn>
    <tableColumn id="11" xr3:uid="{A81941DA-DBA1-46C6-988F-BC81E56342EC}" name="aAlloy(nm)"/>
    <tableColumn id="12" xr3:uid="{1E95EA54-2B9B-464E-9999-B0B793993F74}" name="Reference"/>
    <tableColumn id="13" xr3:uid="{613E2814-C1DC-49FA-9350-D23C216D0E94}" name="doi"/>
  </tableColumns>
  <tableStyleInfo name="TableStyleMedium15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7677FE4B-DADC-4B66-BBC2-DE58DE21270F}" name="Table36" displayName="Table36" ref="A420:J422" totalsRowShown="0">
  <autoFilter ref="A420:J422" xr:uid="{7677FE4B-DADC-4B66-BBC2-DE58DE21270F}"/>
  <tableColumns count="10">
    <tableColumn id="1" xr3:uid="{D256C2EE-BEEC-4BE1-B89B-9A29916C9ADD}" name="(Pd0.77Ag0.23)(1-x)Fex" dataDxfId="9"/>
    <tableColumn id="2" xr3:uid="{851AC66F-7514-4801-B9E7-3364DB902EAD}" name="XPd"/>
    <tableColumn id="3" xr3:uid="{BE518C56-E595-47E2-B16E-B7B39D1D0D92}" name="Xag"/>
    <tableColumn id="4" xr3:uid="{EC3AA54F-866F-4569-BDB7-F5237D1DD476}" name="Xfe"/>
    <tableColumn id="5" xr3:uid="{B8327226-D905-4BC1-87C4-C3966BE14468}" name="XPd/(1-XFe/100)">
      <calculatedColumnFormula>B421/(1-D421/100)</calculatedColumnFormula>
    </tableColumn>
    <tableColumn id="6" xr3:uid="{F54FE30F-B72A-45C5-A91A-DFFB78C9AA4B}" name="XAg/(1-XFe/100)"/>
    <tableColumn id="7" xr3:uid="{86FFB897-2E02-46C3-A179-701AB95168E7}" name="1-XFe">
      <calculatedColumnFormula>1-D421/100</calculatedColumnFormula>
    </tableColumn>
    <tableColumn id="8" xr3:uid="{CEA26FD2-9C3A-4BCA-855A-ED938B17F181}" name="aPd77Ag23"/>
    <tableColumn id="9" xr3:uid="{D141ADF8-0AD5-424A-9B1C-F4563DE229F0}" name="aFe" dataDxfId="8">
      <calculatedColumnFormula>2.8605*1.00202/10</calculatedColumnFormula>
    </tableColumn>
    <tableColumn id="10" xr3:uid="{15327651-09E2-4036-A023-BF684C3416CF}" name="aAlloy">
      <calculatedColumnFormula>G421*H421+D421/100*I421</calculatedColumnFormula>
    </tableColumn>
  </tableColumns>
  <tableStyleInfo name="TableStyleMedium15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795C9F64-6043-4258-80B2-7484AF765169}" name="Table37" displayName="Table37" ref="A450:G465" totalsRowShown="0">
  <autoFilter ref="A450:G465" xr:uid="{795C9F64-6043-4258-80B2-7484AF765169}"/>
  <tableColumns count="7">
    <tableColumn id="1" xr3:uid="{84B93E47-0D08-4908-A6D6-DA2C0117BB75}" name="At.% Au"/>
    <tableColumn id="2" xr3:uid="{6CEBE09B-7625-4A14-BFA2-4DE2A0EDFA82}" name="acalc (Angstrom)"/>
    <tableColumn id="3" xr3:uid="{7F675B59-73F3-4570-8833-C18817F67207}" name="acalc (nm)">
      <calculatedColumnFormula>B451/10</calculatedColumnFormula>
    </tableColumn>
    <tableColumn id="4" xr3:uid="{400DAAB9-326C-4A2F-BAD5-0D0B4C9A91D9}" name="aobs (Angstrom)"/>
    <tableColumn id="5" xr3:uid="{4D3166DB-7E2D-4F61-A160-556C6EB5A6C5}" name="aobs (nm)">
      <calculatedColumnFormula>D451/10</calculatedColumnFormula>
    </tableColumn>
    <tableColumn id="6" xr3:uid="{EAA64935-4233-4355-B2C0-9A941EF5758C}" name="b=(acalc - aexp)/(xAu*(1-xAu))">
      <calculatedColumnFormula>(C451-E451)/(A451*(1-A451/100))</calculatedColumnFormula>
    </tableColumn>
    <tableColumn id="7" xr3:uid="{8D985400-A41A-43DC-9CBA-6D12EB46AA24}" name="aPd"/>
  </tableColumns>
  <tableStyleInfo name="TableStyleMedium15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683FBA7D-584C-494C-AC47-A5AB5D60E36E}" name="Table38" displayName="Table38" ref="A431:N445" totalsRowShown="0" headerRowDxfId="7">
  <autoFilter ref="A431:N445" xr:uid="{683FBA7D-584C-494C-AC47-A5AB5D60E36E}"/>
  <tableColumns count="14">
    <tableColumn id="1" xr3:uid="{11EC3DE6-FEF8-4685-B66B-E24E1A3E218A}" name="(PdxAuy)(1-x)Ptx" dataDxfId="6"/>
    <tableColumn id="2" xr3:uid="{B7C74D40-F5C5-483F-8FA9-43D90377834F}" name="XPd"/>
    <tableColumn id="3" xr3:uid="{C3DDDA59-92F0-45F9-9AC8-45C129A74154}" name="XAu"/>
    <tableColumn id="4" xr3:uid="{1F767284-124E-4F29-AD7E-DB4AA4E67429}" name="XPt"/>
    <tableColumn id="5" xr3:uid="{F30AD423-CF12-4AD6-A7F0-00BA8F3C638E}" name="XPd/(1-XPt/100)">
      <calculatedColumnFormula>B432/(1-D432/100)</calculatedColumnFormula>
    </tableColumn>
    <tableColumn id="6" xr3:uid="{80D4C738-7271-4A30-AF11-B62B42AFD9BC}" name="XAu/(1-XPt/100)">
      <calculatedColumnFormula>C432/(1-D432/100)</calculatedColumnFormula>
    </tableColumn>
    <tableColumn id="7" xr3:uid="{E8D98191-D4E7-434F-9E05-45FC5D1DFD05}" name="1-XPt">
      <calculatedColumnFormula>1-D432/100</calculatedColumnFormula>
    </tableColumn>
    <tableColumn id="8" xr3:uid="{3514347E-6EC6-4D0A-9D30-8BB373AB749F}" name="aPd(nm)" dataDxfId="5"/>
    <tableColumn id="9" xr3:uid="{43FDBABA-8F6D-4032-9F72-060428A4749C}" name="aAu(nm)" dataDxfId="4"/>
    <tableColumn id="10" xr3:uid="{E192F0A7-45D7-4096-855D-0188D266E30F}" name="aPdxAuy(nm)">
      <calculatedColumnFormula>(1-F432/100)*H432+F432/100*I432-$F$466*F432/100*(1-F432/100)</calculatedColumnFormula>
    </tableColumn>
    <tableColumn id="11" xr3:uid="{2EB81B82-6F5D-46D4-B01D-8F0617587409}" name="aPt(nm)" dataDxfId="3">
      <calculatedColumnFormula>3.916/10*1.00202</calculatedColumnFormula>
    </tableColumn>
    <tableColumn id="12" xr3:uid="{359A81E4-AA9E-4103-81E8-5970F0FA48F3}" name="aAlloy(nm)">
      <calculatedColumnFormula>G432*J432+D432/100*K432</calculatedColumnFormula>
    </tableColumn>
    <tableColumn id="13" xr3:uid="{4B8A09D2-2C01-4BEC-96F8-E4D971D19087}" name="Reference"/>
    <tableColumn id="14" xr3:uid="{3E99F82C-731B-454F-8B1B-C31A1F218F22}" name="doi"/>
  </tableColumns>
  <tableStyleInfo name="TableStyleMedium15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49D853CA-28BA-4916-A3C6-F78D93E28B85}" name="Table39" displayName="Table39" ref="A469:L470" totalsRowShown="0">
  <autoFilter ref="A469:L470" xr:uid="{49D853CA-28BA-4916-A3C6-F78D93E28B85}"/>
  <tableColumns count="12">
    <tableColumn id="1" xr3:uid="{9DD38702-0D5F-40B8-9120-5D494041AC9B}" name="Alloy"/>
    <tableColumn id="2" xr3:uid="{CE3B7A2B-09A6-4B2B-9DF0-AA88CCF473DB}" name="XPd"/>
    <tableColumn id="3" xr3:uid="{DF65C1E8-7197-4C89-9997-47A14620B37B}" name="XY"/>
    <tableColumn id="4" xr3:uid="{1FC2C85B-BDB8-4121-9D7F-6EDB77CC77DB}" name="XIn"/>
    <tableColumn id="5" xr3:uid="{14B54A54-163E-4300-A9DB-BFE2CCC90A37}" name="XAg"/>
    <tableColumn id="6" xr3:uid="{AE13A453-B6C3-45CA-89F1-BCD6EDDD90DD}" name="aPd"/>
    <tableColumn id="7" xr3:uid="{20254773-859C-415C-BD2E-A15A537440DF}" name="aY">
      <calculatedColumnFormula>3.6474/10*1.00202*2^0.5</calculatedColumnFormula>
    </tableColumn>
    <tableColumn id="8" xr3:uid="{B5C9A862-F28C-4EDE-A442-A28F63134787}" name="aIn" dataDxfId="2">
      <calculatedColumnFormula>(((4.5886*1.00202)^2*(4.9367*1.00202))^(1/3))/10</calculatedColumnFormula>
    </tableColumn>
    <tableColumn id="9" xr3:uid="{3436E39C-2D2A-492C-8EF7-B70E74F8741B}" name="aAg" dataDxfId="1">
      <calculatedColumnFormula>4.0779/10*1.00202</calculatedColumnFormula>
    </tableColumn>
    <tableColumn id="10" xr3:uid="{7DDCA8C9-D5D3-435F-83BB-5C8611507919}" name="aAlloy">
      <calculatedColumnFormula>B470/100*F470+C470/100*G470+D470/100*H470+E470/100*I470</calculatedColumnFormula>
    </tableColumn>
    <tableColumn id="11" xr3:uid="{E7B87EF3-D031-441E-A5A6-8B1B58BF559C}" name="Reference"/>
    <tableColumn id="12" xr3:uid="{9F3B40E9-EDCA-4302-82BD-2BACBAD9DCAD}" name="doi"/>
  </tableColumns>
  <tableStyleInfo name="TableStyleMedium15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A7832D3-5795-4653-853A-5C08D0BD4F24}" name="Table40" displayName="Table40" ref="A473:L475" totalsRowShown="0" headerRowDxfId="0">
  <autoFilter ref="A473:L475" xr:uid="{5A7832D3-5795-4653-853A-5C08D0BD4F24}"/>
  <tableColumns count="12">
    <tableColumn id="1" xr3:uid="{54DC70C7-04E8-4258-AF0F-884EFAAC9082}" name="(PdxAgy)(1-z)Cuz"/>
    <tableColumn id="2" xr3:uid="{27ECB02C-D88D-4B6D-B40A-33C2B95D0ABB}" name="XPd"/>
    <tableColumn id="3" xr3:uid="{74B43CD4-DA0D-4E78-9335-9BE6026B68AC}" name="XAg"/>
    <tableColumn id="4" xr3:uid="{EDD25939-812E-43E7-81C8-493BD3CFAD5B}" name="XCu"/>
    <tableColumn id="5" xr3:uid="{5E664035-A2B7-4025-825C-9B54A6473DBA}" name="XPd/(1-XCu/100)">
      <calculatedColumnFormula>Table40[[#This Row],[XPd]]/(1-Table40[[#This Row],[XCu]]/100)</calculatedColumnFormula>
    </tableColumn>
    <tableColumn id="6" xr3:uid="{5CB5E1E6-40F7-4441-B012-60C8E3BE3FCC}" name="XAg/(1-XCu/100)">
      <calculatedColumnFormula>Table40[[#This Row],[XAg]]/(1-Table40[[#This Row],[XCu]]/100)</calculatedColumnFormula>
    </tableColumn>
    <tableColumn id="7" xr3:uid="{2C5F6B2B-E46A-4622-B4D3-1203F83D97BE}" name="aPdxAgy(FCC)">
      <calculatedColumnFormula>0.3887+(1.93*0.0001)*Table40[[#This Row],[XAg/(1-XCu/100)]]</calculatedColumnFormula>
    </tableColumn>
    <tableColumn id="8" xr3:uid="{8B4D209A-57E9-45FC-944E-B861881EA70D}" name="(1-XCu)">
      <calculatedColumnFormula>1-Table40[[#This Row],[XCu]]/100</calculatedColumnFormula>
    </tableColumn>
    <tableColumn id="9" xr3:uid="{96D5A4B0-6C02-48AB-B450-D97E9356C4D1}" name="aCu">
      <calculatedColumnFormula>3.6074*1.00202/10</calculatedColumnFormula>
    </tableColumn>
    <tableColumn id="10" xr3:uid="{E62EACE9-3E32-4E86-BFEF-75C7EB697B6B}" name="aAlloy">
      <calculatedColumnFormula>Table40[[#This Row],[aPdxAgy(FCC)]]-Table40[[#This Row],[XCu]]/100*(Table40[[#This Row],[aPdxAgy(FCC)]]-Table40[[#This Row],[aCu]])</calculatedColumnFormula>
    </tableColumn>
    <tableColumn id="11" xr3:uid="{2F278005-576C-4225-884E-F31F87549ED8}" name="Reference"/>
    <tableColumn id="12" xr3:uid="{21DCE317-A833-452C-AB79-BFAC2573F2BF}" name="doi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002/bbpc.19900940218" TargetMode="External"/><Relationship Id="rId21" Type="http://schemas.openxmlformats.org/officeDocument/2006/relationships/hyperlink" Target="https://doi.org/10.1016/0022-5088(90)90147-C" TargetMode="External"/><Relationship Id="rId42" Type="http://schemas.openxmlformats.org/officeDocument/2006/relationships/table" Target="../tables/table3.xml"/><Relationship Id="rId47" Type="http://schemas.openxmlformats.org/officeDocument/2006/relationships/table" Target="../tables/table8.xml"/><Relationship Id="rId63" Type="http://schemas.openxmlformats.org/officeDocument/2006/relationships/table" Target="../tables/table24.xml"/><Relationship Id="rId68" Type="http://schemas.openxmlformats.org/officeDocument/2006/relationships/table" Target="../tables/table29.xml"/><Relationship Id="rId16" Type="http://schemas.openxmlformats.org/officeDocument/2006/relationships/hyperlink" Target="https://doi.org/10.1524/zpch.1988.158.Part_2.223" TargetMode="External"/><Relationship Id="rId11" Type="http://schemas.openxmlformats.org/officeDocument/2006/relationships/hyperlink" Target="https://doi.org/10.1016/0022-3115(89)90424-8" TargetMode="External"/><Relationship Id="rId24" Type="http://schemas.openxmlformats.org/officeDocument/2006/relationships/hyperlink" Target="https://doi.org/10.1016/0022-5088(89)90077-5" TargetMode="External"/><Relationship Id="rId32" Type="http://schemas.openxmlformats.org/officeDocument/2006/relationships/hyperlink" Target="https://doi.org/10.1016/0022-5088(89)90226-9" TargetMode="External"/><Relationship Id="rId37" Type="http://schemas.openxmlformats.org/officeDocument/2006/relationships/hyperlink" Target="https://doi.org/10.1021/jp1039628" TargetMode="External"/><Relationship Id="rId40" Type="http://schemas.openxmlformats.org/officeDocument/2006/relationships/table" Target="../tables/table1.xml"/><Relationship Id="rId45" Type="http://schemas.openxmlformats.org/officeDocument/2006/relationships/table" Target="../tables/table6.xml"/><Relationship Id="rId53" Type="http://schemas.openxmlformats.org/officeDocument/2006/relationships/table" Target="../tables/table14.xml"/><Relationship Id="rId58" Type="http://schemas.openxmlformats.org/officeDocument/2006/relationships/table" Target="../tables/table19.xml"/><Relationship Id="rId66" Type="http://schemas.openxmlformats.org/officeDocument/2006/relationships/table" Target="../tables/table27.xml"/><Relationship Id="rId74" Type="http://schemas.openxmlformats.org/officeDocument/2006/relationships/table" Target="../tables/table35.xml"/><Relationship Id="rId79" Type="http://schemas.openxmlformats.org/officeDocument/2006/relationships/table" Target="../tables/table40.xml"/><Relationship Id="rId5" Type="http://schemas.openxmlformats.org/officeDocument/2006/relationships/hyperlink" Target="https://doi.org/10.1016/S0925-8388(01)01202-13" TargetMode="External"/><Relationship Id="rId61" Type="http://schemas.openxmlformats.org/officeDocument/2006/relationships/table" Target="../tables/table22.xml"/><Relationship Id="rId19" Type="http://schemas.openxmlformats.org/officeDocument/2006/relationships/hyperlink" Target="https://doi.org/10.1524/zpch.1988.158.Part_2.223" TargetMode="External"/><Relationship Id="rId14" Type="http://schemas.openxmlformats.org/officeDocument/2006/relationships/hyperlink" Target="https://doi.org/10.1524/zpch.1989.162.Part_1.083" TargetMode="External"/><Relationship Id="rId22" Type="http://schemas.openxmlformats.org/officeDocument/2006/relationships/hyperlink" Target="https://doi.org/10.1016/0022-5088(90)90147-C" TargetMode="External"/><Relationship Id="rId27" Type="http://schemas.openxmlformats.org/officeDocument/2006/relationships/hyperlink" Target="https://doi.org/10.1016/0022-5088(68)90187-2" TargetMode="External"/><Relationship Id="rId30" Type="http://schemas.openxmlformats.org/officeDocument/2006/relationships/hyperlink" Target="https://doi.org/10.1524/zpch.1993.179.Part_1_2.069" TargetMode="External"/><Relationship Id="rId35" Type="http://schemas.openxmlformats.org/officeDocument/2006/relationships/hyperlink" Target="https://doi.org/10.1016/j.jallcom.2018.07.007" TargetMode="External"/><Relationship Id="rId43" Type="http://schemas.openxmlformats.org/officeDocument/2006/relationships/table" Target="../tables/table4.xml"/><Relationship Id="rId48" Type="http://schemas.openxmlformats.org/officeDocument/2006/relationships/table" Target="../tables/table9.xml"/><Relationship Id="rId56" Type="http://schemas.openxmlformats.org/officeDocument/2006/relationships/table" Target="../tables/table17.xml"/><Relationship Id="rId64" Type="http://schemas.openxmlformats.org/officeDocument/2006/relationships/table" Target="../tables/table25.xml"/><Relationship Id="rId69" Type="http://schemas.openxmlformats.org/officeDocument/2006/relationships/table" Target="../tables/table30.xml"/><Relationship Id="rId77" Type="http://schemas.openxmlformats.org/officeDocument/2006/relationships/table" Target="../tables/table38.xml"/><Relationship Id="rId8" Type="http://schemas.openxmlformats.org/officeDocument/2006/relationships/hyperlink" Target="https://doi.org/10.1524/zpch.1988.158.Part_2.223" TargetMode="External"/><Relationship Id="rId51" Type="http://schemas.openxmlformats.org/officeDocument/2006/relationships/table" Target="../tables/table12.xml"/><Relationship Id="rId72" Type="http://schemas.openxmlformats.org/officeDocument/2006/relationships/table" Target="../tables/table33.xml"/><Relationship Id="rId3" Type="http://schemas.openxmlformats.org/officeDocument/2006/relationships/hyperlink" Target="https://doi.org/10.1016/S0925-8388(01)01202-6" TargetMode="External"/><Relationship Id="rId12" Type="http://schemas.openxmlformats.org/officeDocument/2006/relationships/hyperlink" Target="https://doi.org/10.1016/0022-3115(89)90424-8" TargetMode="External"/><Relationship Id="rId17" Type="http://schemas.openxmlformats.org/officeDocument/2006/relationships/hyperlink" Target="https://doi.org/10.1524/zpch.1988.158.Part_2.223" TargetMode="External"/><Relationship Id="rId25" Type="http://schemas.openxmlformats.org/officeDocument/2006/relationships/hyperlink" Target="https://doi.org/10.1002/bbpc.19900940218" TargetMode="External"/><Relationship Id="rId33" Type="http://schemas.openxmlformats.org/officeDocument/2006/relationships/hyperlink" Target="https://doi.org/10.1016/0925-8388(94)90776-5" TargetMode="External"/><Relationship Id="rId38" Type="http://schemas.openxmlformats.org/officeDocument/2006/relationships/hyperlink" Target="https://doi.org/10.1021/jp1039628" TargetMode="External"/><Relationship Id="rId46" Type="http://schemas.openxmlformats.org/officeDocument/2006/relationships/table" Target="../tables/table7.xml"/><Relationship Id="rId59" Type="http://schemas.openxmlformats.org/officeDocument/2006/relationships/table" Target="../tables/table20.xml"/><Relationship Id="rId67" Type="http://schemas.openxmlformats.org/officeDocument/2006/relationships/table" Target="../tables/table28.xml"/><Relationship Id="rId20" Type="http://schemas.openxmlformats.org/officeDocument/2006/relationships/hyperlink" Target="https://doi.org/10.1524/zpch.1988.158.Part_2.223" TargetMode="External"/><Relationship Id="rId41" Type="http://schemas.openxmlformats.org/officeDocument/2006/relationships/table" Target="../tables/table2.xml"/><Relationship Id="rId54" Type="http://schemas.openxmlformats.org/officeDocument/2006/relationships/table" Target="../tables/table15.xml"/><Relationship Id="rId62" Type="http://schemas.openxmlformats.org/officeDocument/2006/relationships/table" Target="../tables/table23.xml"/><Relationship Id="rId70" Type="http://schemas.openxmlformats.org/officeDocument/2006/relationships/table" Target="../tables/table31.xml"/><Relationship Id="rId75" Type="http://schemas.openxmlformats.org/officeDocument/2006/relationships/table" Target="../tables/table36.xml"/><Relationship Id="rId1" Type="http://schemas.openxmlformats.org/officeDocument/2006/relationships/hyperlink" Target="https://pubs.acs.org/doi/pdf/10.1021/j100788a024?casa_token=lIUV1BS13EIAAAAA:fzARNlPrXhhAtQvC834gXndxaaZwarjyiZA5ew_-LD_8Cplh7-MbYq-GhvjE26xXKbsU4IAIPYLSW9JUSw" TargetMode="External"/><Relationship Id="rId6" Type="http://schemas.openxmlformats.org/officeDocument/2006/relationships/hyperlink" Target="https://doi.org/10.1016/S0925-8388(01)01202-6" TargetMode="External"/><Relationship Id="rId15" Type="http://schemas.openxmlformats.org/officeDocument/2006/relationships/hyperlink" Target="https://doi.org/10.1524/zpch.1988.158.Part_2.223" TargetMode="External"/><Relationship Id="rId23" Type="http://schemas.openxmlformats.org/officeDocument/2006/relationships/hyperlink" Target="https://doi.org/10.1016/0022-5088(89)90077-5" TargetMode="External"/><Relationship Id="rId28" Type="http://schemas.openxmlformats.org/officeDocument/2006/relationships/hyperlink" Target="https://doi.org/10.1016/0022-5088(68)90187-2" TargetMode="External"/><Relationship Id="rId36" Type="http://schemas.openxmlformats.org/officeDocument/2006/relationships/hyperlink" Target="https://doi.org/10.1016/j.jallcom.2018.07.007" TargetMode="External"/><Relationship Id="rId49" Type="http://schemas.openxmlformats.org/officeDocument/2006/relationships/table" Target="../tables/table10.xml"/><Relationship Id="rId57" Type="http://schemas.openxmlformats.org/officeDocument/2006/relationships/table" Target="../tables/table18.xml"/><Relationship Id="rId10" Type="http://schemas.openxmlformats.org/officeDocument/2006/relationships/hyperlink" Target="https://doi.org/10.1103/PhysRevB.95.024116" TargetMode="External"/><Relationship Id="rId31" Type="http://schemas.openxmlformats.org/officeDocument/2006/relationships/hyperlink" Target="https://doi.org/10.1016/0022-5088(89)90226-9" TargetMode="External"/><Relationship Id="rId44" Type="http://schemas.openxmlformats.org/officeDocument/2006/relationships/table" Target="../tables/table5.xml"/><Relationship Id="rId52" Type="http://schemas.openxmlformats.org/officeDocument/2006/relationships/table" Target="../tables/table13.xml"/><Relationship Id="rId60" Type="http://schemas.openxmlformats.org/officeDocument/2006/relationships/table" Target="../tables/table21.xml"/><Relationship Id="rId65" Type="http://schemas.openxmlformats.org/officeDocument/2006/relationships/table" Target="../tables/table26.xml"/><Relationship Id="rId73" Type="http://schemas.openxmlformats.org/officeDocument/2006/relationships/table" Target="../tables/table34.xml"/><Relationship Id="rId78" Type="http://schemas.openxmlformats.org/officeDocument/2006/relationships/table" Target="../tables/table39.xml"/><Relationship Id="rId4" Type="http://schemas.openxmlformats.org/officeDocument/2006/relationships/hyperlink" Target="https://pubs.acs.org/doi/pdf/10.1021/j100788a024?casa_token=lIUV1BS13EIAAAAA:fzARNlPrXhhAtQvC834gXndxaaZwarjyiZA5ew_-LD_8Cplh7-MbYq-GhvjE26xXKbsU4IAIPYLSW9JUSw" TargetMode="External"/><Relationship Id="rId9" Type="http://schemas.openxmlformats.org/officeDocument/2006/relationships/hyperlink" Target="https://doi.org/10.1103/PhysRevB.95.024116" TargetMode="External"/><Relationship Id="rId13" Type="http://schemas.openxmlformats.org/officeDocument/2006/relationships/hyperlink" Target="https://doi.org/10.1524/zpch.1989.162.Part_1.083" TargetMode="External"/><Relationship Id="rId18" Type="http://schemas.openxmlformats.org/officeDocument/2006/relationships/hyperlink" Target="https://doi.org/10.1524/zpch.1988.158.Part_2.223" TargetMode="External"/><Relationship Id="rId39" Type="http://schemas.openxmlformats.org/officeDocument/2006/relationships/drawing" Target="../drawings/drawing1.xml"/><Relationship Id="rId34" Type="http://schemas.openxmlformats.org/officeDocument/2006/relationships/hyperlink" Target="https://doi.org/10.1016/0925-8388(94)90776-5" TargetMode="External"/><Relationship Id="rId50" Type="http://schemas.openxmlformats.org/officeDocument/2006/relationships/table" Target="../tables/table11.xml"/><Relationship Id="rId55" Type="http://schemas.openxmlformats.org/officeDocument/2006/relationships/table" Target="../tables/table16.xml"/><Relationship Id="rId76" Type="http://schemas.openxmlformats.org/officeDocument/2006/relationships/table" Target="../tables/table37.xml"/><Relationship Id="rId7" Type="http://schemas.openxmlformats.org/officeDocument/2006/relationships/hyperlink" Target="https://doi.org/10.1524/zpch.1988.158.Part_2.223" TargetMode="External"/><Relationship Id="rId71" Type="http://schemas.openxmlformats.org/officeDocument/2006/relationships/table" Target="../tables/table32.xml"/><Relationship Id="rId2" Type="http://schemas.openxmlformats.org/officeDocument/2006/relationships/hyperlink" Target="https://doi.org/10.1016/S0925-8388(01)01202-6" TargetMode="External"/><Relationship Id="rId29" Type="http://schemas.openxmlformats.org/officeDocument/2006/relationships/hyperlink" Target="https://doi.org/10.1524/zpch.1993.179.Part_1_2.0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A0842-A51C-4940-8134-A0DC9C4E2AC1}">
  <dimension ref="A1:R479"/>
  <sheetViews>
    <sheetView tabSelected="1" topLeftCell="A280" zoomScale="107" workbookViewId="0">
      <selection activeCell="M479" sqref="M479"/>
    </sheetView>
  </sheetViews>
  <sheetFormatPr defaultRowHeight="15" x14ac:dyDescent="0.25"/>
  <cols>
    <col min="1" max="1" width="54.7109375" bestFit="1" customWidth="1"/>
    <col min="2" max="2" width="25.140625" customWidth="1"/>
    <col min="3" max="3" width="26.42578125" bestFit="1" customWidth="1"/>
    <col min="4" max="4" width="165.28515625" bestFit="1" customWidth="1"/>
    <col min="5" max="5" width="46.28515625" bestFit="1" customWidth="1"/>
    <col min="6" max="6" width="26.5703125" customWidth="1"/>
    <col min="7" max="7" width="15.28515625" customWidth="1"/>
    <col min="8" max="8" width="17.28515625" bestFit="1" customWidth="1"/>
    <col min="9" max="9" width="16.5703125" bestFit="1" customWidth="1"/>
    <col min="10" max="11" width="13.140625" customWidth="1"/>
    <col min="12" max="12" width="11.85546875" customWidth="1"/>
    <col min="13" max="14" width="12" customWidth="1"/>
    <col min="16" max="16" width="14.140625" bestFit="1" customWidth="1"/>
    <col min="17" max="17" width="11.28515625" customWidth="1"/>
  </cols>
  <sheetData>
    <row r="1" spans="1:4" x14ac:dyDescent="0.25">
      <c r="A1" s="36" t="s">
        <v>3</v>
      </c>
      <c r="B1" s="36"/>
      <c r="C1" s="36"/>
      <c r="D1" s="36"/>
    </row>
    <row r="2" spans="1:4" x14ac:dyDescent="0.25">
      <c r="A2" t="s">
        <v>0</v>
      </c>
      <c r="B2" t="s">
        <v>2</v>
      </c>
      <c r="C2" t="s">
        <v>4</v>
      </c>
      <c r="D2" t="s">
        <v>6</v>
      </c>
    </row>
    <row r="3" spans="1:4" x14ac:dyDescent="0.25">
      <c r="A3">
        <f>100-100</f>
        <v>0</v>
      </c>
      <c r="B3">
        <f>3.8827/10</f>
        <v>0.38827</v>
      </c>
      <c r="C3" t="s">
        <v>11</v>
      </c>
    </row>
    <row r="4" spans="1:4" x14ac:dyDescent="0.25">
      <c r="A4">
        <v>0</v>
      </c>
      <c r="B4">
        <f>3.89/10</f>
        <v>0.38900000000000001</v>
      </c>
      <c r="C4" t="s">
        <v>5</v>
      </c>
    </row>
    <row r="5" spans="1:4" x14ac:dyDescent="0.25">
      <c r="A5">
        <f>0.001*100</f>
        <v>0.1</v>
      </c>
      <c r="B5">
        <f>3.894/10</f>
        <v>0.38940000000000002</v>
      </c>
      <c r="C5" t="s">
        <v>5</v>
      </c>
    </row>
    <row r="6" spans="1:4" x14ac:dyDescent="0.25">
      <c r="A6">
        <f>0.003*100</f>
        <v>0.3</v>
      </c>
      <c r="B6">
        <f>3.8948/10</f>
        <v>0.38947999999999999</v>
      </c>
      <c r="C6" t="s">
        <v>5</v>
      </c>
    </row>
    <row r="7" spans="1:4" x14ac:dyDescent="0.25">
      <c r="A7">
        <f>0.006*100</f>
        <v>0.6</v>
      </c>
      <c r="B7">
        <f>3.8944/10</f>
        <v>0.38944000000000001</v>
      </c>
      <c r="C7" t="s">
        <v>5</v>
      </c>
    </row>
    <row r="8" spans="1:4" x14ac:dyDescent="0.25">
      <c r="A8">
        <f>0.01*100</f>
        <v>1</v>
      </c>
      <c r="B8">
        <f>3.8933/10</f>
        <v>0.38933000000000001</v>
      </c>
      <c r="C8" t="s">
        <v>5</v>
      </c>
    </row>
    <row r="9" spans="1:4" x14ac:dyDescent="0.25">
      <c r="A9">
        <f>0.018*100</f>
        <v>1.7999999999999998</v>
      </c>
      <c r="B9">
        <f>3.8907/10</f>
        <v>0.38906999999999997</v>
      </c>
      <c r="C9" t="s">
        <v>5</v>
      </c>
    </row>
    <row r="10" spans="1:4" x14ac:dyDescent="0.25">
      <c r="A10">
        <f>0.028*100</f>
        <v>2.8000000000000003</v>
      </c>
      <c r="B10">
        <f>3.8895/10</f>
        <v>0.38895000000000002</v>
      </c>
      <c r="C10" t="s">
        <v>5</v>
      </c>
    </row>
    <row r="11" spans="1:4" x14ac:dyDescent="0.25">
      <c r="A11">
        <f>0.037*100</f>
        <v>3.6999999999999997</v>
      </c>
      <c r="B11">
        <f>3.8873/10</f>
        <v>0.38873000000000002</v>
      </c>
      <c r="C11" t="s">
        <v>5</v>
      </c>
    </row>
    <row r="12" spans="1:4" x14ac:dyDescent="0.25">
      <c r="A12">
        <v>3.1</v>
      </c>
      <c r="B12">
        <v>0.3886</v>
      </c>
      <c r="C12" t="s">
        <v>7</v>
      </c>
    </row>
    <row r="13" spans="1:4" x14ac:dyDescent="0.25">
      <c r="A13">
        <v>6.2</v>
      </c>
      <c r="B13">
        <v>0.3881</v>
      </c>
      <c r="C13" t="s">
        <v>7</v>
      </c>
    </row>
    <row r="14" spans="1:4" x14ac:dyDescent="0.25">
      <c r="A14">
        <v>9</v>
      </c>
      <c r="B14">
        <v>0.38779999999999998</v>
      </c>
      <c r="C14" t="s">
        <v>7</v>
      </c>
    </row>
    <row r="15" spans="1:4" x14ac:dyDescent="0.25">
      <c r="A15">
        <v>12</v>
      </c>
      <c r="B15">
        <v>0.38729999999999998</v>
      </c>
      <c r="C15" t="s">
        <v>7</v>
      </c>
    </row>
    <row r="16" spans="1:4" x14ac:dyDescent="0.25">
      <c r="A16">
        <v>15</v>
      </c>
      <c r="B16">
        <v>0.3871</v>
      </c>
      <c r="C16" t="s">
        <v>7</v>
      </c>
    </row>
    <row r="17" spans="1:3" x14ac:dyDescent="0.25">
      <c r="A17">
        <f>(100-34.4)</f>
        <v>65.599999999999994</v>
      </c>
      <c r="B17">
        <f>3.7568/10</f>
        <v>0.37568000000000001</v>
      </c>
      <c r="C17" t="s">
        <v>11</v>
      </c>
    </row>
    <row r="18" spans="1:3" x14ac:dyDescent="0.25">
      <c r="A18">
        <f>(100-39.5)</f>
        <v>60.5</v>
      </c>
      <c r="B18">
        <f>3.7746/10</f>
        <v>0.37746000000000002</v>
      </c>
      <c r="C18" t="s">
        <v>11</v>
      </c>
    </row>
    <row r="19" spans="1:3" x14ac:dyDescent="0.25">
      <c r="A19">
        <f>(100-51.9)</f>
        <v>48.1</v>
      </c>
      <c r="B19">
        <f>3.8015/10</f>
        <v>0.38014999999999999</v>
      </c>
      <c r="C19" t="s">
        <v>11</v>
      </c>
    </row>
    <row r="20" spans="1:3" x14ac:dyDescent="0.25">
      <c r="A20">
        <f>(100-59.8)</f>
        <v>40.200000000000003</v>
      </c>
      <c r="B20">
        <f>3.8177/10</f>
        <v>0.38177</v>
      </c>
      <c r="C20" t="s">
        <v>11</v>
      </c>
    </row>
    <row r="21" spans="1:3" x14ac:dyDescent="0.25">
      <c r="A21">
        <f>(100-70.2)</f>
        <v>29.799999999999997</v>
      </c>
      <c r="B21">
        <f>3.8367/10</f>
        <v>0.38367000000000001</v>
      </c>
      <c r="C21" t="s">
        <v>11</v>
      </c>
    </row>
    <row r="22" spans="1:3" x14ac:dyDescent="0.25">
      <c r="A22">
        <f>(100-72.4)</f>
        <v>27.599999999999994</v>
      </c>
      <c r="B22">
        <f>3.842/10</f>
        <v>0.38419999999999999</v>
      </c>
      <c r="C22" t="s">
        <v>11</v>
      </c>
    </row>
    <row r="23" spans="1:3" x14ac:dyDescent="0.25">
      <c r="A23">
        <f>(100-76.6)</f>
        <v>23.400000000000006</v>
      </c>
      <c r="B23">
        <f>3.8496/10</f>
        <v>0.38496000000000002</v>
      </c>
      <c r="C23" t="s">
        <v>11</v>
      </c>
    </row>
    <row r="24" spans="1:3" x14ac:dyDescent="0.25">
      <c r="A24">
        <f>(100-87.3)</f>
        <v>12.700000000000003</v>
      </c>
      <c r="B24">
        <f>3.8626/10</f>
        <v>0.38625999999999999</v>
      </c>
      <c r="C24" t="s">
        <v>11</v>
      </c>
    </row>
    <row r="32" spans="1:3" x14ac:dyDescent="0.25">
      <c r="A32" t="s">
        <v>12</v>
      </c>
    </row>
    <row r="33" spans="1:4" x14ac:dyDescent="0.25">
      <c r="A33" t="s">
        <v>8</v>
      </c>
      <c r="B33" t="s">
        <v>2</v>
      </c>
      <c r="C33" t="s">
        <v>4</v>
      </c>
      <c r="D33" t="s">
        <v>6</v>
      </c>
    </row>
    <row r="34" spans="1:4" x14ac:dyDescent="0.25">
      <c r="A34">
        <v>0</v>
      </c>
      <c r="B34" s="5">
        <f>3.889/10</f>
        <v>0.38889999999999997</v>
      </c>
      <c r="C34" t="s">
        <v>10</v>
      </c>
      <c r="D34" s="1" t="s">
        <v>9</v>
      </c>
    </row>
    <row r="35" spans="1:4" x14ac:dyDescent="0.25">
      <c r="A35">
        <v>2.79</v>
      </c>
      <c r="B35" s="5">
        <f>3.89/10</f>
        <v>0.38900000000000001</v>
      </c>
      <c r="C35" t="s">
        <v>10</v>
      </c>
      <c r="D35" s="1" t="s">
        <v>9</v>
      </c>
    </row>
    <row r="36" spans="1:4" x14ac:dyDescent="0.25">
      <c r="A36">
        <v>5.73</v>
      </c>
      <c r="B36" s="5">
        <f>3.891/10</f>
        <v>0.3891</v>
      </c>
      <c r="C36" t="s">
        <v>10</v>
      </c>
      <c r="D36" s="1" t="s">
        <v>9</v>
      </c>
    </row>
    <row r="37" spans="1:4" x14ac:dyDescent="0.25">
      <c r="A37">
        <v>8.8000000000000007</v>
      </c>
      <c r="B37" s="5">
        <f>3.892/10</f>
        <v>0.38919999999999999</v>
      </c>
      <c r="C37" t="s">
        <v>10</v>
      </c>
      <c r="D37" s="1" t="s">
        <v>9</v>
      </c>
    </row>
    <row r="38" spans="1:4" x14ac:dyDescent="0.25">
      <c r="A38">
        <v>12.03</v>
      </c>
      <c r="B38" s="5">
        <f>3.893/10</f>
        <v>0.38929999999999998</v>
      </c>
      <c r="C38" t="s">
        <v>10</v>
      </c>
      <c r="D38" s="1" t="s">
        <v>9</v>
      </c>
    </row>
    <row r="39" spans="1:4" x14ac:dyDescent="0.25">
      <c r="A39">
        <v>0</v>
      </c>
      <c r="B39" s="6">
        <f>3.89/10</f>
        <v>0.38900000000000001</v>
      </c>
      <c r="C39" t="s">
        <v>14</v>
      </c>
      <c r="D39" s="1" t="s">
        <v>13</v>
      </c>
    </row>
    <row r="40" spans="1:4" x14ac:dyDescent="0.25">
      <c r="A40" s="3">
        <v>5</v>
      </c>
      <c r="B40" s="6">
        <f>3.891/10</f>
        <v>0.3891</v>
      </c>
      <c r="C40" t="s">
        <v>14</v>
      </c>
      <c r="D40" s="1" t="s">
        <v>15</v>
      </c>
    </row>
    <row r="41" spans="1:4" x14ac:dyDescent="0.25">
      <c r="A41" s="3">
        <v>9.9</v>
      </c>
      <c r="B41" s="6">
        <f>3.892/10</f>
        <v>0.38919999999999999</v>
      </c>
      <c r="C41" t="s">
        <v>14</v>
      </c>
      <c r="D41" s="1" t="s">
        <v>16</v>
      </c>
    </row>
    <row r="42" spans="1:4" x14ac:dyDescent="0.25">
      <c r="A42" s="3">
        <v>15.4</v>
      </c>
      <c r="B42" s="6">
        <f>3.893/10</f>
        <v>0.38929999999999998</v>
      </c>
      <c r="C42" t="s">
        <v>14</v>
      </c>
      <c r="D42" s="1" t="s">
        <v>17</v>
      </c>
    </row>
    <row r="43" spans="1:4" x14ac:dyDescent="0.25">
      <c r="A43" s="3">
        <v>18.600000000000001</v>
      </c>
      <c r="B43" s="6">
        <f>3.894/10</f>
        <v>0.38940000000000002</v>
      </c>
      <c r="C43" t="s">
        <v>14</v>
      </c>
      <c r="D43" s="1" t="s">
        <v>18</v>
      </c>
    </row>
    <row r="44" spans="1:4" x14ac:dyDescent="0.25">
      <c r="A44" s="3">
        <v>29.8</v>
      </c>
      <c r="B44" s="6">
        <f>3.896/10</f>
        <v>0.3896</v>
      </c>
      <c r="C44" t="s">
        <v>14</v>
      </c>
      <c r="D44" s="1" t="s">
        <v>19</v>
      </c>
    </row>
    <row r="45" spans="1:4" x14ac:dyDescent="0.25">
      <c r="A45" s="3">
        <v>40.799999999999997</v>
      </c>
      <c r="B45" s="6">
        <f>3.899/10</f>
        <v>0.38990000000000002</v>
      </c>
      <c r="C45" t="s">
        <v>14</v>
      </c>
      <c r="D45" s="1" t="s">
        <v>20</v>
      </c>
    </row>
    <row r="46" spans="1:4" x14ac:dyDescent="0.25">
      <c r="A46" s="3">
        <v>51.4</v>
      </c>
      <c r="B46" s="6">
        <f>3.903/10</f>
        <v>0.39029999999999998</v>
      </c>
      <c r="C46" t="s">
        <v>14</v>
      </c>
      <c r="D46" s="1" t="s">
        <v>21</v>
      </c>
    </row>
    <row r="47" spans="1:4" ht="15.75" x14ac:dyDescent="0.25">
      <c r="A47" s="3">
        <v>100</v>
      </c>
      <c r="B47" s="7">
        <f>3.923/10</f>
        <v>0.39229999999999998</v>
      </c>
      <c r="C47" t="s">
        <v>14</v>
      </c>
      <c r="D47" s="1" t="s">
        <v>21</v>
      </c>
    </row>
    <row r="48" spans="1:4" x14ac:dyDescent="0.25">
      <c r="A48" s="3">
        <v>0</v>
      </c>
      <c r="B48" s="3">
        <f>3.8906/10</f>
        <v>0.38906000000000002</v>
      </c>
      <c r="C48" t="s">
        <v>14</v>
      </c>
      <c r="D48" s="1" t="s">
        <v>21</v>
      </c>
    </row>
    <row r="66" spans="1:4" ht="15.75" thickBot="1" x14ac:dyDescent="0.3">
      <c r="A66" s="8" t="s">
        <v>22</v>
      </c>
      <c r="B66" s="8" t="s">
        <v>2</v>
      </c>
      <c r="C66" s="8" t="s">
        <v>4</v>
      </c>
      <c r="D66" s="8" t="s">
        <v>6</v>
      </c>
    </row>
    <row r="67" spans="1:4" x14ac:dyDescent="0.25">
      <c r="A67">
        <v>1.25</v>
      </c>
      <c r="B67">
        <v>0.38890000000000002</v>
      </c>
      <c r="C67" t="s">
        <v>25</v>
      </c>
      <c r="D67" s="1" t="s">
        <v>23</v>
      </c>
    </row>
    <row r="68" spans="1:4" x14ac:dyDescent="0.25">
      <c r="A68">
        <v>2.5</v>
      </c>
      <c r="B68">
        <v>0.38869999999999999</v>
      </c>
      <c r="C68" t="s">
        <v>25</v>
      </c>
      <c r="D68" s="1" t="s">
        <v>23</v>
      </c>
    </row>
    <row r="69" spans="1:4" x14ac:dyDescent="0.25">
      <c r="A69">
        <v>3.75</v>
      </c>
      <c r="B69">
        <v>0.3886</v>
      </c>
      <c r="C69" t="s">
        <v>25</v>
      </c>
      <c r="D69" s="1" t="s">
        <v>23</v>
      </c>
    </row>
    <row r="70" spans="1:4" x14ac:dyDescent="0.25">
      <c r="A70">
        <v>5</v>
      </c>
      <c r="B70">
        <v>0.38869999999999999</v>
      </c>
      <c r="C70" t="s">
        <v>25</v>
      </c>
      <c r="D70" s="1" t="s">
        <v>23</v>
      </c>
    </row>
    <row r="71" spans="1:4" x14ac:dyDescent="0.25">
      <c r="A71">
        <v>6.25</v>
      </c>
      <c r="B71">
        <v>0.3886</v>
      </c>
      <c r="C71" t="s">
        <v>25</v>
      </c>
      <c r="D71" s="1" t="s">
        <v>23</v>
      </c>
    </row>
    <row r="72" spans="1:4" x14ac:dyDescent="0.25">
      <c r="A72">
        <v>5.6</v>
      </c>
      <c r="B72">
        <f>388.7/1000</f>
        <v>0.38869999999999999</v>
      </c>
      <c r="C72" t="s">
        <v>28</v>
      </c>
      <c r="D72" s="1" t="s">
        <v>27</v>
      </c>
    </row>
    <row r="73" spans="1:4" x14ac:dyDescent="0.25">
      <c r="A73">
        <v>8.4</v>
      </c>
      <c r="B73">
        <f>388/1000</f>
        <v>0.38800000000000001</v>
      </c>
      <c r="C73" t="s">
        <v>28</v>
      </c>
      <c r="D73" s="1" t="s">
        <v>27</v>
      </c>
    </row>
    <row r="74" spans="1:4" x14ac:dyDescent="0.25">
      <c r="A74">
        <v>12.4</v>
      </c>
      <c r="B74">
        <f>387.7/1000</f>
        <v>0.38769999999999999</v>
      </c>
      <c r="C74" t="s">
        <v>28</v>
      </c>
      <c r="D74" s="1" t="s">
        <v>27</v>
      </c>
    </row>
    <row r="75" spans="1:4" x14ac:dyDescent="0.25">
      <c r="A75">
        <v>17.899999999999999</v>
      </c>
      <c r="B75">
        <f>387.1/1000</f>
        <v>0.3871</v>
      </c>
      <c r="C75" t="s">
        <v>28</v>
      </c>
      <c r="D75" s="1" t="s">
        <v>27</v>
      </c>
    </row>
    <row r="76" spans="1:4" x14ac:dyDescent="0.25">
      <c r="A76">
        <v>0</v>
      </c>
      <c r="B76">
        <f>3.89/10</f>
        <v>0.38900000000000001</v>
      </c>
      <c r="C76" t="s">
        <v>28</v>
      </c>
      <c r="D76" s="1" t="s">
        <v>27</v>
      </c>
    </row>
    <row r="77" spans="1:4" x14ac:dyDescent="0.25">
      <c r="A77">
        <f>0.00640865904482838*100</f>
        <v>0.64086590448283798</v>
      </c>
      <c r="B77">
        <f>3.89047488332912/10</f>
        <v>0.38904748833291197</v>
      </c>
      <c r="C77" t="s">
        <v>26</v>
      </c>
      <c r="D77" s="1" t="s">
        <v>24</v>
      </c>
    </row>
    <row r="78" spans="1:4" x14ac:dyDescent="0.25">
      <c r="A78">
        <f>0.0166318330473704*100</f>
        <v>1.6631833047370401</v>
      </c>
      <c r="B78">
        <f>3.88962333615461/10</f>
        <v>0.38896233361546101</v>
      </c>
      <c r="C78" t="s">
        <v>26</v>
      </c>
      <c r="D78" s="1" t="s">
        <v>24</v>
      </c>
    </row>
    <row r="79" spans="1:4" x14ac:dyDescent="0.25">
      <c r="A79">
        <f>0.0262551010297753*100</f>
        <v>2.6255101029775298</v>
      </c>
      <c r="B79">
        <f>3.88911389414952/10</f>
        <v>0.38891138941495196</v>
      </c>
      <c r="C79" t="s">
        <v>26</v>
      </c>
      <c r="D79" s="1" t="s">
        <v>24</v>
      </c>
    </row>
    <row r="80" spans="1:4" x14ac:dyDescent="0.25">
      <c r="A80">
        <v>0</v>
      </c>
      <c r="B80">
        <v>0.38900000000000001</v>
      </c>
    </row>
    <row r="82" spans="1:5" x14ac:dyDescent="0.25">
      <c r="A82" t="s">
        <v>29</v>
      </c>
      <c r="B82" t="s">
        <v>30</v>
      </c>
      <c r="C82" t="s">
        <v>31</v>
      </c>
      <c r="D82" t="s">
        <v>4</v>
      </c>
      <c r="E82" t="s">
        <v>6</v>
      </c>
    </row>
    <row r="83" spans="1:5" x14ac:dyDescent="0.25">
      <c r="A83">
        <v>0</v>
      </c>
      <c r="B83">
        <f>100-A83</f>
        <v>100</v>
      </c>
      <c r="C83">
        <f>3.5168/10</f>
        <v>0.35167999999999999</v>
      </c>
      <c r="D83" t="s">
        <v>32</v>
      </c>
    </row>
    <row r="84" spans="1:5" x14ac:dyDescent="0.25">
      <c r="A84">
        <v>11.2</v>
      </c>
      <c r="B84">
        <f t="shared" ref="B84:B97" si="0">100-A84</f>
        <v>88.8</v>
      </c>
      <c r="C84">
        <f>3.5699/10</f>
        <v>0.35699000000000003</v>
      </c>
      <c r="D84" t="s">
        <v>32</v>
      </c>
    </row>
    <row r="85" spans="1:5" x14ac:dyDescent="0.25">
      <c r="A85">
        <v>11.7</v>
      </c>
      <c r="B85">
        <f t="shared" si="0"/>
        <v>88.3</v>
      </c>
      <c r="C85">
        <f>3.575/10</f>
        <v>0.35750000000000004</v>
      </c>
      <c r="D85" t="s">
        <v>32</v>
      </c>
    </row>
    <row r="86" spans="1:5" x14ac:dyDescent="0.25">
      <c r="A86">
        <v>15.7</v>
      </c>
      <c r="B86">
        <f t="shared" si="0"/>
        <v>84.3</v>
      </c>
      <c r="C86">
        <f>3.5897/10</f>
        <v>0.35897000000000001</v>
      </c>
      <c r="D86" t="s">
        <v>32</v>
      </c>
    </row>
    <row r="87" spans="1:5" x14ac:dyDescent="0.25">
      <c r="A87">
        <v>25.3</v>
      </c>
      <c r="B87">
        <f t="shared" si="0"/>
        <v>74.7</v>
      </c>
      <c r="C87">
        <f>3.6345/10</f>
        <v>0.36345</v>
      </c>
      <c r="D87" t="s">
        <v>32</v>
      </c>
    </row>
    <row r="88" spans="1:5" x14ac:dyDescent="0.25">
      <c r="A88">
        <v>34.5</v>
      </c>
      <c r="B88">
        <f t="shared" si="0"/>
        <v>65.5</v>
      </c>
      <c r="C88">
        <f>3.6779/10</f>
        <v>0.36779000000000001</v>
      </c>
      <c r="D88" t="s">
        <v>32</v>
      </c>
    </row>
    <row r="89" spans="1:5" x14ac:dyDescent="0.25">
      <c r="A89">
        <v>40</v>
      </c>
      <c r="B89">
        <f t="shared" si="0"/>
        <v>60</v>
      </c>
      <c r="C89">
        <f>3.692/10</f>
        <v>0.36920000000000003</v>
      </c>
      <c r="D89" t="s">
        <v>32</v>
      </c>
    </row>
    <row r="90" spans="1:5" x14ac:dyDescent="0.25">
      <c r="A90">
        <v>47.8</v>
      </c>
      <c r="B90">
        <f t="shared" si="0"/>
        <v>52.2</v>
      </c>
      <c r="C90">
        <f>3.7274/10</f>
        <v>0.37273999999999996</v>
      </c>
      <c r="D90" t="s">
        <v>32</v>
      </c>
    </row>
    <row r="91" spans="1:5" x14ac:dyDescent="0.25">
      <c r="A91">
        <v>49.7</v>
      </c>
      <c r="B91">
        <f t="shared" si="0"/>
        <v>50.3</v>
      </c>
      <c r="C91">
        <f>3.7302/10</f>
        <v>0.37302000000000002</v>
      </c>
      <c r="D91" t="s">
        <v>32</v>
      </c>
    </row>
    <row r="92" spans="1:5" x14ac:dyDescent="0.25">
      <c r="A92">
        <v>60.1</v>
      </c>
      <c r="B92">
        <f t="shared" si="0"/>
        <v>39.9</v>
      </c>
      <c r="C92">
        <f>3.7667/10</f>
        <v>0.37667</v>
      </c>
      <c r="D92" t="s">
        <v>32</v>
      </c>
    </row>
    <row r="93" spans="1:5" x14ac:dyDescent="0.25">
      <c r="A93">
        <v>64.2</v>
      </c>
      <c r="B93">
        <f t="shared" si="0"/>
        <v>35.799999999999997</v>
      </c>
      <c r="C93">
        <f>3.7806/10</f>
        <v>0.37806000000000001</v>
      </c>
      <c r="D93" t="s">
        <v>32</v>
      </c>
    </row>
    <row r="94" spans="1:5" x14ac:dyDescent="0.25">
      <c r="A94">
        <v>64.3</v>
      </c>
      <c r="B94">
        <f t="shared" si="0"/>
        <v>35.700000000000003</v>
      </c>
      <c r="C94">
        <f>3.7796/10</f>
        <v>0.37795999999999996</v>
      </c>
      <c r="D94" t="s">
        <v>32</v>
      </c>
    </row>
    <row r="95" spans="1:5" x14ac:dyDescent="0.25">
      <c r="A95">
        <v>77.900000000000006</v>
      </c>
      <c r="B95">
        <f t="shared" si="0"/>
        <v>22.099999999999994</v>
      </c>
      <c r="C95">
        <f>3.8296/10</f>
        <v>0.38296000000000002</v>
      </c>
      <c r="D95" t="s">
        <v>32</v>
      </c>
    </row>
    <row r="96" spans="1:5" x14ac:dyDescent="0.25">
      <c r="A96">
        <v>86</v>
      </c>
      <c r="B96">
        <f t="shared" si="0"/>
        <v>14</v>
      </c>
      <c r="C96">
        <f>3.8559/10</f>
        <v>0.38558999999999999</v>
      </c>
      <c r="D96" t="s">
        <v>32</v>
      </c>
    </row>
    <row r="97" spans="1:5" x14ac:dyDescent="0.25">
      <c r="A97">
        <v>100</v>
      </c>
      <c r="B97">
        <f t="shared" si="0"/>
        <v>0</v>
      </c>
      <c r="C97">
        <f>3.8827/10</f>
        <v>0.38827</v>
      </c>
      <c r="D97" t="s">
        <v>32</v>
      </c>
    </row>
    <row r="98" spans="1:5" x14ac:dyDescent="0.25">
      <c r="B98">
        <v>0</v>
      </c>
      <c r="C98">
        <v>0.38900000000000001</v>
      </c>
      <c r="D98" t="s">
        <v>25</v>
      </c>
      <c r="E98" s="1" t="s">
        <v>33</v>
      </c>
    </row>
    <row r="99" spans="1:5" x14ac:dyDescent="0.25">
      <c r="B99">
        <v>5</v>
      </c>
      <c r="C99">
        <v>0.38779999999999998</v>
      </c>
      <c r="D99" t="s">
        <v>25</v>
      </c>
      <c r="E99" s="1" t="s">
        <v>33</v>
      </c>
    </row>
    <row r="100" spans="1:5" x14ac:dyDescent="0.25">
      <c r="B100">
        <v>9.6</v>
      </c>
      <c r="C100">
        <v>0.3866</v>
      </c>
      <c r="D100" t="s">
        <v>25</v>
      </c>
      <c r="E100" s="1" t="s">
        <v>33</v>
      </c>
    </row>
    <row r="101" spans="1:5" x14ac:dyDescent="0.25">
      <c r="B101">
        <v>15</v>
      </c>
      <c r="C101">
        <v>0.38540000000000002</v>
      </c>
      <c r="D101" t="s">
        <v>25</v>
      </c>
      <c r="E101" s="1" t="s">
        <v>33</v>
      </c>
    </row>
    <row r="102" spans="1:5" x14ac:dyDescent="0.25">
      <c r="B102">
        <v>20</v>
      </c>
      <c r="C102">
        <v>0.3836</v>
      </c>
      <c r="D102" t="s">
        <v>25</v>
      </c>
      <c r="E102" s="1" t="s">
        <v>33</v>
      </c>
    </row>
    <row r="103" spans="1:5" x14ac:dyDescent="0.25">
      <c r="B103">
        <v>30.1</v>
      </c>
      <c r="C103">
        <v>0.38069999999999998</v>
      </c>
      <c r="D103" t="s">
        <v>25</v>
      </c>
      <c r="E103" s="1" t="s">
        <v>33</v>
      </c>
    </row>
    <row r="105" spans="1:5" x14ac:dyDescent="0.25">
      <c r="D105">
        <v>0.38829999999999998</v>
      </c>
    </row>
    <row r="108" spans="1:5" x14ac:dyDescent="0.25">
      <c r="A108" t="s">
        <v>34</v>
      </c>
      <c r="B108" t="s">
        <v>2</v>
      </c>
      <c r="C108" t="s">
        <v>35</v>
      </c>
      <c r="D108" t="s">
        <v>6</v>
      </c>
    </row>
    <row r="109" spans="1:5" x14ac:dyDescent="0.25">
      <c r="A109">
        <v>2.5</v>
      </c>
      <c r="B109">
        <v>0.38879999999999998</v>
      </c>
      <c r="C109" t="s">
        <v>25</v>
      </c>
      <c r="D109" s="1" t="s">
        <v>23</v>
      </c>
    </row>
    <row r="110" spans="1:5" x14ac:dyDescent="0.25">
      <c r="A110">
        <v>5</v>
      </c>
      <c r="B110">
        <v>0.3886</v>
      </c>
      <c r="C110" t="s">
        <v>25</v>
      </c>
      <c r="D110" s="1" t="s">
        <v>23</v>
      </c>
    </row>
    <row r="111" spans="1:5" x14ac:dyDescent="0.25">
      <c r="A111">
        <v>7.5</v>
      </c>
      <c r="B111">
        <v>0.38840000000000002</v>
      </c>
      <c r="C111" t="s">
        <v>25</v>
      </c>
      <c r="D111" s="1" t="s">
        <v>23</v>
      </c>
    </row>
    <row r="112" spans="1:5" x14ac:dyDescent="0.25">
      <c r="A112">
        <v>10</v>
      </c>
      <c r="B112">
        <v>0.38819999999999999</v>
      </c>
      <c r="C112" t="s">
        <v>25</v>
      </c>
      <c r="D112" s="1" t="s">
        <v>23</v>
      </c>
    </row>
    <row r="113" spans="1:4" x14ac:dyDescent="0.25">
      <c r="A113">
        <v>15</v>
      </c>
      <c r="B113">
        <v>0.38779999999999998</v>
      </c>
      <c r="C113" t="s">
        <v>25</v>
      </c>
      <c r="D113" s="1" t="s">
        <v>23</v>
      </c>
    </row>
    <row r="114" spans="1:4" x14ac:dyDescent="0.25">
      <c r="A114">
        <v>20</v>
      </c>
      <c r="B114">
        <v>0.38750000000000001</v>
      </c>
      <c r="C114" t="s">
        <v>25</v>
      </c>
      <c r="D114" s="1" t="s">
        <v>23</v>
      </c>
    </row>
    <row r="117" spans="1:4" x14ac:dyDescent="0.25">
      <c r="A117" t="s">
        <v>36</v>
      </c>
      <c r="B117" t="s">
        <v>1</v>
      </c>
      <c r="C117" t="s">
        <v>4</v>
      </c>
      <c r="D117" t="s">
        <v>6</v>
      </c>
    </row>
    <row r="118" spans="1:4" ht="15.75" thickBot="1" x14ac:dyDescent="0.3">
      <c r="A118">
        <v>2.5</v>
      </c>
      <c r="B118">
        <v>0.39090000000000003</v>
      </c>
      <c r="C118" s="2" t="s">
        <v>25</v>
      </c>
      <c r="D118" s="9" t="s">
        <v>23</v>
      </c>
    </row>
    <row r="119" spans="1:4" ht="15.75" thickBot="1" x14ac:dyDescent="0.3">
      <c r="A119">
        <v>5</v>
      </c>
      <c r="B119">
        <v>0.39229999999999998</v>
      </c>
      <c r="C119" s="2" t="s">
        <v>25</v>
      </c>
      <c r="D119" s="9" t="s">
        <v>23</v>
      </c>
    </row>
    <row r="120" spans="1:4" ht="15.75" thickBot="1" x14ac:dyDescent="0.3">
      <c r="A120">
        <v>7.5</v>
      </c>
      <c r="B120">
        <v>0.39429999999999998</v>
      </c>
      <c r="C120" s="2" t="s">
        <v>25</v>
      </c>
      <c r="D120" s="9" t="s">
        <v>23</v>
      </c>
    </row>
    <row r="121" spans="1:4" ht="15.75" thickBot="1" x14ac:dyDescent="0.3">
      <c r="A121">
        <v>10</v>
      </c>
      <c r="B121">
        <v>0.39560000000000001</v>
      </c>
      <c r="C121" s="2" t="s">
        <v>25</v>
      </c>
      <c r="D121" s="9" t="s">
        <v>23</v>
      </c>
    </row>
    <row r="122" spans="1:4" ht="15.75" x14ac:dyDescent="0.25">
      <c r="B122" s="4"/>
    </row>
    <row r="130" spans="1:4" ht="15.75" thickBot="1" x14ac:dyDescent="0.3">
      <c r="A130" s="8" t="s">
        <v>43</v>
      </c>
      <c r="B130" s="8" t="s">
        <v>1</v>
      </c>
      <c r="C130" s="8" t="s">
        <v>4</v>
      </c>
      <c r="D130" s="8" t="s">
        <v>6</v>
      </c>
    </row>
    <row r="131" spans="1:4" ht="15.75" thickBot="1" x14ac:dyDescent="0.3">
      <c r="A131">
        <v>2</v>
      </c>
      <c r="B131">
        <v>0.38890000000000002</v>
      </c>
      <c r="C131" s="2" t="s">
        <v>25</v>
      </c>
      <c r="D131" s="9" t="s">
        <v>23</v>
      </c>
    </row>
    <row r="132" spans="1:4" ht="15.75" thickBot="1" x14ac:dyDescent="0.3">
      <c r="A132">
        <v>4</v>
      </c>
      <c r="B132">
        <v>0.38879999999999998</v>
      </c>
      <c r="C132" s="2" t="s">
        <v>25</v>
      </c>
      <c r="D132" s="9" t="s">
        <v>23</v>
      </c>
    </row>
    <row r="133" spans="1:4" ht="15.75" thickBot="1" x14ac:dyDescent="0.3">
      <c r="A133">
        <v>6</v>
      </c>
      <c r="B133">
        <v>0.38879999999999998</v>
      </c>
      <c r="C133" s="2" t="s">
        <v>25</v>
      </c>
      <c r="D133" s="9" t="s">
        <v>23</v>
      </c>
    </row>
    <row r="134" spans="1:4" ht="15.75" thickBot="1" x14ac:dyDescent="0.3">
      <c r="A134">
        <v>8</v>
      </c>
      <c r="B134">
        <v>0.38869999999999999</v>
      </c>
      <c r="C134" s="2" t="s">
        <v>25</v>
      </c>
      <c r="D134" s="9" t="s">
        <v>23</v>
      </c>
    </row>
    <row r="135" spans="1:4" ht="15.75" thickBot="1" x14ac:dyDescent="0.3">
      <c r="A135">
        <v>10</v>
      </c>
      <c r="B135">
        <v>0.38869999999999999</v>
      </c>
      <c r="C135" s="2" t="s">
        <v>25</v>
      </c>
      <c r="D135" s="9" t="s">
        <v>23</v>
      </c>
    </row>
    <row r="139" spans="1:4" x14ac:dyDescent="0.25">
      <c r="A139" t="s">
        <v>37</v>
      </c>
      <c r="B139" t="s">
        <v>1</v>
      </c>
      <c r="C139" t="s">
        <v>4</v>
      </c>
      <c r="D139" t="s">
        <v>6</v>
      </c>
    </row>
    <row r="140" spans="1:4" x14ac:dyDescent="0.25">
      <c r="A140">
        <v>2</v>
      </c>
      <c r="B140">
        <v>0.39029999999999998</v>
      </c>
      <c r="C140" t="s">
        <v>38</v>
      </c>
      <c r="D140" s="1" t="s">
        <v>39</v>
      </c>
    </row>
    <row r="141" spans="1:4" x14ac:dyDescent="0.25">
      <c r="A141">
        <v>4</v>
      </c>
      <c r="B141">
        <v>0.39129999999999998</v>
      </c>
      <c r="D141" s="1" t="s">
        <v>39</v>
      </c>
    </row>
    <row r="142" spans="1:4" x14ac:dyDescent="0.25">
      <c r="A142">
        <v>6</v>
      </c>
      <c r="B142">
        <v>0.39240000000000003</v>
      </c>
      <c r="D142" s="1" t="s">
        <v>39</v>
      </c>
    </row>
    <row r="143" spans="1:4" x14ac:dyDescent="0.25">
      <c r="A143">
        <v>8</v>
      </c>
      <c r="B143">
        <v>0.39319999999999999</v>
      </c>
      <c r="D143" s="1" t="s">
        <v>39</v>
      </c>
    </row>
    <row r="144" spans="1:4" x14ac:dyDescent="0.25">
      <c r="A144">
        <v>10</v>
      </c>
      <c r="B144">
        <v>0.39479999999999998</v>
      </c>
      <c r="D144" s="1" t="s">
        <v>39</v>
      </c>
    </row>
    <row r="152" spans="1:4" ht="15.75" thickBot="1" x14ac:dyDescent="0.3">
      <c r="A152" s="8" t="s">
        <v>40</v>
      </c>
      <c r="B152" s="8" t="s">
        <v>1</v>
      </c>
      <c r="C152" s="8" t="s">
        <v>4</v>
      </c>
      <c r="D152" s="8" t="s">
        <v>6</v>
      </c>
    </row>
    <row r="153" spans="1:4" x14ac:dyDescent="0.25">
      <c r="A153">
        <v>5</v>
      </c>
      <c r="B153">
        <v>0.39410000000000001</v>
      </c>
      <c r="C153" t="s">
        <v>41</v>
      </c>
      <c r="D153" s="1" t="s">
        <v>42</v>
      </c>
    </row>
    <row r="154" spans="1:4" x14ac:dyDescent="0.25">
      <c r="A154">
        <v>6.5</v>
      </c>
      <c r="B154">
        <v>0.39510000000000001</v>
      </c>
      <c r="C154" t="s">
        <v>41</v>
      </c>
      <c r="D154" s="1" t="s">
        <v>42</v>
      </c>
    </row>
    <row r="155" spans="1:4" x14ac:dyDescent="0.25">
      <c r="A155">
        <v>8</v>
      </c>
      <c r="B155">
        <v>0.39660000000000001</v>
      </c>
      <c r="C155" t="s">
        <v>41</v>
      </c>
      <c r="D155" s="1" t="s">
        <v>42</v>
      </c>
    </row>
    <row r="156" spans="1:4" x14ac:dyDescent="0.25">
      <c r="A156">
        <v>10</v>
      </c>
      <c r="B156">
        <v>0.3982</v>
      </c>
      <c r="C156" t="s">
        <v>41</v>
      </c>
      <c r="D156" s="1" t="s">
        <v>42</v>
      </c>
    </row>
    <row r="157" spans="1:4" x14ac:dyDescent="0.25">
      <c r="A157">
        <v>11.5</v>
      </c>
      <c r="B157">
        <v>0.39850000000000002</v>
      </c>
      <c r="C157" t="s">
        <v>41</v>
      </c>
      <c r="D157" s="1" t="s">
        <v>42</v>
      </c>
    </row>
    <row r="158" spans="1:4" x14ac:dyDescent="0.25">
      <c r="A158">
        <v>12.5</v>
      </c>
      <c r="B158">
        <v>0.39800000000000002</v>
      </c>
      <c r="C158" t="s">
        <v>41</v>
      </c>
      <c r="D158" s="1" t="s">
        <v>42</v>
      </c>
    </row>
    <row r="159" spans="1:4" x14ac:dyDescent="0.25">
      <c r="A159">
        <v>13.7</v>
      </c>
      <c r="B159">
        <v>0.3987</v>
      </c>
      <c r="C159" t="s">
        <v>41</v>
      </c>
      <c r="D159" s="1" t="s">
        <v>42</v>
      </c>
    </row>
    <row r="160" spans="1:4" x14ac:dyDescent="0.25">
      <c r="A160">
        <v>15</v>
      </c>
      <c r="B160">
        <v>0.39839999999999998</v>
      </c>
      <c r="C160" t="s">
        <v>41</v>
      </c>
      <c r="D160" s="1" t="s">
        <v>42</v>
      </c>
    </row>
    <row r="166" spans="1:4" ht="15.75" thickBot="1" x14ac:dyDescent="0.3">
      <c r="A166" s="8" t="s">
        <v>44</v>
      </c>
      <c r="B166" s="8" t="s">
        <v>1</v>
      </c>
      <c r="C166" s="8" t="s">
        <v>4</v>
      </c>
      <c r="D166" s="8" t="s">
        <v>6</v>
      </c>
    </row>
    <row r="167" spans="1:4" x14ac:dyDescent="0.25">
      <c r="A167">
        <v>0</v>
      </c>
      <c r="B167">
        <v>0.38900000000000001</v>
      </c>
      <c r="C167" t="s">
        <v>38</v>
      </c>
      <c r="D167" s="1" t="s">
        <v>45</v>
      </c>
    </row>
    <row r="168" spans="1:4" x14ac:dyDescent="0.25">
      <c r="A168">
        <v>1.5</v>
      </c>
      <c r="B168">
        <v>0.39040000000000002</v>
      </c>
      <c r="C168" t="s">
        <v>38</v>
      </c>
      <c r="D168" s="1" t="s">
        <v>45</v>
      </c>
    </row>
    <row r="169" spans="1:4" x14ac:dyDescent="0.25">
      <c r="A169">
        <v>3</v>
      </c>
      <c r="B169">
        <v>0.39200000000000002</v>
      </c>
      <c r="C169" t="s">
        <v>38</v>
      </c>
      <c r="D169" s="1" t="s">
        <v>45</v>
      </c>
    </row>
    <row r="170" spans="1:4" x14ac:dyDescent="0.25">
      <c r="A170">
        <v>4.5</v>
      </c>
      <c r="B170">
        <v>0.39329999999999998</v>
      </c>
      <c r="C170" t="s">
        <v>38</v>
      </c>
      <c r="D170" s="1" t="s">
        <v>45</v>
      </c>
    </row>
    <row r="171" spans="1:4" x14ac:dyDescent="0.25">
      <c r="A171">
        <v>6</v>
      </c>
      <c r="B171">
        <v>0.39450000000000002</v>
      </c>
      <c r="C171" t="s">
        <v>38</v>
      </c>
      <c r="D171" s="1" t="s">
        <v>45</v>
      </c>
    </row>
    <row r="172" spans="1:4" x14ac:dyDescent="0.25">
      <c r="A172">
        <v>8</v>
      </c>
      <c r="B172">
        <v>0.39700000000000002</v>
      </c>
      <c r="C172" t="s">
        <v>38</v>
      </c>
      <c r="D172" s="1" t="s">
        <v>45</v>
      </c>
    </row>
    <row r="175" spans="1:4" ht="15.75" thickBot="1" x14ac:dyDescent="0.3">
      <c r="A175" s="8" t="s">
        <v>46</v>
      </c>
      <c r="B175" s="8" t="s">
        <v>1</v>
      </c>
      <c r="C175" s="8" t="s">
        <v>4</v>
      </c>
      <c r="D175" s="8" t="s">
        <v>6</v>
      </c>
    </row>
    <row r="176" spans="1:4" x14ac:dyDescent="0.25">
      <c r="A176">
        <v>1.98</v>
      </c>
      <c r="B176">
        <f>3.8984/10</f>
        <v>0.38984000000000002</v>
      </c>
      <c r="C176" t="s">
        <v>47</v>
      </c>
      <c r="D176" s="1" t="s">
        <v>48</v>
      </c>
    </row>
    <row r="177" spans="1:4" x14ac:dyDescent="0.25">
      <c r="A177">
        <v>3.99</v>
      </c>
      <c r="B177">
        <f>3.9148/10</f>
        <v>0.39147999999999999</v>
      </c>
      <c r="C177" t="s">
        <v>47</v>
      </c>
      <c r="D177" s="1" t="s">
        <v>48</v>
      </c>
    </row>
    <row r="178" spans="1:4" x14ac:dyDescent="0.25">
      <c r="A178">
        <v>4.99</v>
      </c>
      <c r="B178">
        <f>3.9232/10</f>
        <v>0.39232</v>
      </c>
      <c r="C178" t="s">
        <v>47</v>
      </c>
      <c r="D178" s="1" t="s">
        <v>48</v>
      </c>
    </row>
    <row r="179" spans="1:4" x14ac:dyDescent="0.25">
      <c r="A179">
        <v>6.06</v>
      </c>
      <c r="B179">
        <f>3.9332/10</f>
        <v>0.39332</v>
      </c>
      <c r="C179" t="s">
        <v>47</v>
      </c>
      <c r="D179" s="1" t="s">
        <v>48</v>
      </c>
    </row>
    <row r="180" spans="1:4" x14ac:dyDescent="0.25">
      <c r="A180">
        <v>7.96</v>
      </c>
      <c r="B180">
        <f>3.9477/10</f>
        <v>0.39477000000000001</v>
      </c>
      <c r="C180" t="s">
        <v>47</v>
      </c>
      <c r="D180" s="1" t="s">
        <v>48</v>
      </c>
    </row>
    <row r="181" spans="1:4" x14ac:dyDescent="0.25">
      <c r="A181">
        <v>9.9700000000000006</v>
      </c>
      <c r="B181">
        <f>3.9641/10</f>
        <v>0.39641000000000004</v>
      </c>
      <c r="C181" t="s">
        <v>47</v>
      </c>
      <c r="D181" s="1" t="s">
        <v>48</v>
      </c>
    </row>
    <row r="182" spans="1:4" x14ac:dyDescent="0.25">
      <c r="A182">
        <v>10</v>
      </c>
      <c r="B182">
        <f>3.9647/10</f>
        <v>0.39646999999999999</v>
      </c>
      <c r="C182" t="s">
        <v>47</v>
      </c>
      <c r="D182" s="1" t="s">
        <v>48</v>
      </c>
    </row>
    <row r="183" spans="1:4" x14ac:dyDescent="0.25">
      <c r="A183">
        <v>11</v>
      </c>
      <c r="B183">
        <f>3.9719/10</f>
        <v>0.39719000000000004</v>
      </c>
      <c r="C183" t="s">
        <v>47</v>
      </c>
      <c r="D183" s="1" t="s">
        <v>48</v>
      </c>
    </row>
    <row r="184" spans="1:4" x14ac:dyDescent="0.25">
      <c r="A184">
        <v>15</v>
      </c>
      <c r="B184">
        <f>3.9882/10</f>
        <v>0.39882000000000001</v>
      </c>
      <c r="C184" t="s">
        <v>47</v>
      </c>
      <c r="D184" s="1" t="s">
        <v>48</v>
      </c>
    </row>
    <row r="190" spans="1:4" ht="15.75" thickBot="1" x14ac:dyDescent="0.3">
      <c r="A190" s="8" t="s">
        <v>49</v>
      </c>
      <c r="B190" s="8" t="s">
        <v>1</v>
      </c>
      <c r="C190" s="8" t="s">
        <v>4</v>
      </c>
      <c r="D190" s="8" t="s">
        <v>6</v>
      </c>
    </row>
    <row r="191" spans="1:4" x14ac:dyDescent="0.25">
      <c r="A191">
        <v>0</v>
      </c>
      <c r="B191">
        <v>0.38900000000000001</v>
      </c>
      <c r="C191" t="s">
        <v>50</v>
      </c>
      <c r="D191" s="1" t="s">
        <v>51</v>
      </c>
    </row>
    <row r="192" spans="1:4" x14ac:dyDescent="0.25">
      <c r="A192">
        <f>0.025*100</f>
        <v>2.5</v>
      </c>
      <c r="B192">
        <v>0.3886</v>
      </c>
      <c r="C192" t="s">
        <v>50</v>
      </c>
      <c r="D192" s="1" t="s">
        <v>51</v>
      </c>
    </row>
    <row r="193" spans="1:4" x14ac:dyDescent="0.25">
      <c r="A193">
        <f>0.05*100</f>
        <v>5</v>
      </c>
      <c r="B193">
        <v>0.38829999999999998</v>
      </c>
      <c r="C193" t="s">
        <v>50</v>
      </c>
      <c r="D193" s="1" t="s">
        <v>51</v>
      </c>
    </row>
    <row r="194" spans="1:4" x14ac:dyDescent="0.25">
      <c r="A194">
        <f>0.075*100</f>
        <v>7.5</v>
      </c>
      <c r="B194">
        <v>0.38800000000000001</v>
      </c>
      <c r="C194" t="s">
        <v>50</v>
      </c>
      <c r="D194" s="1" t="s">
        <v>51</v>
      </c>
    </row>
    <row r="195" spans="1:4" x14ac:dyDescent="0.25">
      <c r="A195">
        <f>0.1*100</f>
        <v>10</v>
      </c>
      <c r="B195">
        <v>0.38769999999999999</v>
      </c>
      <c r="C195" t="s">
        <v>50</v>
      </c>
      <c r="D195" s="1" t="s">
        <v>51</v>
      </c>
    </row>
    <row r="199" spans="1:4" ht="15.75" thickBot="1" x14ac:dyDescent="0.3">
      <c r="A199" s="8" t="s">
        <v>52</v>
      </c>
      <c r="B199" s="8" t="s">
        <v>1</v>
      </c>
      <c r="C199" s="8" t="s">
        <v>4</v>
      </c>
      <c r="D199" s="8" t="s">
        <v>6</v>
      </c>
    </row>
    <row r="200" spans="1:4" x14ac:dyDescent="0.25">
      <c r="A200">
        <v>1.5</v>
      </c>
      <c r="B200">
        <v>0.3901</v>
      </c>
      <c r="C200" t="s">
        <v>53</v>
      </c>
      <c r="D200" s="1" t="s">
        <v>54</v>
      </c>
    </row>
    <row r="201" spans="1:4" x14ac:dyDescent="0.25">
      <c r="A201">
        <v>3</v>
      </c>
      <c r="B201">
        <v>0.39100000000000001</v>
      </c>
      <c r="C201" t="s">
        <v>53</v>
      </c>
      <c r="D201" s="1" t="s">
        <v>54</v>
      </c>
    </row>
    <row r="202" spans="1:4" x14ac:dyDescent="0.25">
      <c r="A202">
        <v>4.5</v>
      </c>
      <c r="B202">
        <v>0.39190000000000003</v>
      </c>
      <c r="C202" t="s">
        <v>53</v>
      </c>
      <c r="D202" s="1" t="s">
        <v>54</v>
      </c>
    </row>
    <row r="203" spans="1:4" x14ac:dyDescent="0.25">
      <c r="A203">
        <v>6</v>
      </c>
      <c r="B203">
        <v>0.39290000000000003</v>
      </c>
      <c r="C203" t="s">
        <v>53</v>
      </c>
      <c r="D203" s="1" t="s">
        <v>54</v>
      </c>
    </row>
    <row r="204" spans="1:4" x14ac:dyDescent="0.25">
      <c r="A204">
        <v>8</v>
      </c>
      <c r="B204">
        <v>0.39439999999999997</v>
      </c>
      <c r="C204" t="s">
        <v>53</v>
      </c>
      <c r="D204" s="1" t="s">
        <v>54</v>
      </c>
    </row>
    <row r="207" spans="1:4" ht="15.75" thickBot="1" x14ac:dyDescent="0.3">
      <c r="A207" s="8" t="s">
        <v>55</v>
      </c>
      <c r="B207" s="8" t="s">
        <v>1</v>
      </c>
      <c r="C207" s="8" t="s">
        <v>4</v>
      </c>
      <c r="D207" s="8" t="s">
        <v>6</v>
      </c>
    </row>
    <row r="208" spans="1:4" x14ac:dyDescent="0.25">
      <c r="A208">
        <v>0</v>
      </c>
      <c r="B208">
        <v>0.38900000000000001</v>
      </c>
      <c r="C208" t="s">
        <v>56</v>
      </c>
      <c r="D208" s="1" t="s">
        <v>57</v>
      </c>
    </row>
    <row r="209" spans="1:8" x14ac:dyDescent="0.25">
      <c r="A209">
        <v>2.5</v>
      </c>
      <c r="B209">
        <v>0.39029999999999998</v>
      </c>
      <c r="C209" t="s">
        <v>56</v>
      </c>
      <c r="D209" s="1" t="s">
        <v>57</v>
      </c>
    </row>
    <row r="210" spans="1:8" x14ac:dyDescent="0.25">
      <c r="A210">
        <v>5</v>
      </c>
      <c r="B210">
        <v>0.39169999999999999</v>
      </c>
      <c r="C210" t="s">
        <v>56</v>
      </c>
      <c r="D210" s="1" t="s">
        <v>57</v>
      </c>
    </row>
    <row r="211" spans="1:8" x14ac:dyDescent="0.25">
      <c r="A211">
        <v>7.5</v>
      </c>
      <c r="B211">
        <v>0.3931</v>
      </c>
      <c r="C211" t="s">
        <v>56</v>
      </c>
      <c r="D211" s="1" t="s">
        <v>57</v>
      </c>
    </row>
    <row r="212" spans="1:8" x14ac:dyDescent="0.25">
      <c r="A212">
        <v>9</v>
      </c>
      <c r="B212">
        <v>0.39389999999999997</v>
      </c>
      <c r="C212" t="s">
        <v>56</v>
      </c>
      <c r="D212" s="1" t="s">
        <v>57</v>
      </c>
    </row>
    <row r="219" spans="1:8" ht="33" x14ac:dyDescent="0.65">
      <c r="A219" t="s">
        <v>58</v>
      </c>
      <c r="B219" t="s">
        <v>62</v>
      </c>
      <c r="C219" t="s">
        <v>63</v>
      </c>
      <c r="D219" t="s">
        <v>64</v>
      </c>
      <c r="E219" t="s">
        <v>65</v>
      </c>
      <c r="F219" t="s">
        <v>66</v>
      </c>
      <c r="G219" t="s">
        <v>4</v>
      </c>
      <c r="H219" t="s">
        <v>6</v>
      </c>
    </row>
    <row r="220" spans="1:8" ht="18" x14ac:dyDescent="0.35">
      <c r="A220" s="19" t="s">
        <v>67</v>
      </c>
      <c r="B220">
        <v>0.96</v>
      </c>
      <c r="C220">
        <v>0.04</v>
      </c>
      <c r="D220">
        <v>0.3931</v>
      </c>
      <c r="E220">
        <f t="shared" ref="E220" si="1">4.0413/10*1.00202</f>
        <v>0.40494634259999995</v>
      </c>
      <c r="F220">
        <f>B220*D220+C220*E220</f>
        <v>0.393573853704</v>
      </c>
      <c r="G220" t="s">
        <v>70</v>
      </c>
      <c r="H220" s="1" t="s">
        <v>71</v>
      </c>
    </row>
    <row r="221" spans="1:8" x14ac:dyDescent="0.25">
      <c r="A221" s="19" t="s">
        <v>68</v>
      </c>
      <c r="B221">
        <v>0.98</v>
      </c>
      <c r="C221">
        <v>0.02</v>
      </c>
      <c r="D221">
        <v>0.3931</v>
      </c>
      <c r="E221">
        <f>4.0413/10*1.00202</f>
        <v>0.40494634259999995</v>
      </c>
      <c r="F221">
        <f>B221*D221+C221*E221</f>
        <v>0.393336926852</v>
      </c>
      <c r="G221" t="s">
        <v>70</v>
      </c>
      <c r="H221" s="1" t="s">
        <v>71</v>
      </c>
    </row>
    <row r="224" spans="1:8" x14ac:dyDescent="0.25">
      <c r="B224" s="11"/>
      <c r="C224" s="11"/>
    </row>
    <row r="228" spans="1:18" s="22" customFormat="1" ht="21.75" thickBot="1" x14ac:dyDescent="0.5">
      <c r="A228" s="17" t="s">
        <v>58</v>
      </c>
      <c r="B228" s="15" t="s">
        <v>76</v>
      </c>
      <c r="C228" s="15" t="s">
        <v>77</v>
      </c>
      <c r="D228" s="15" t="s">
        <v>81</v>
      </c>
      <c r="E228" s="15" t="s">
        <v>82</v>
      </c>
      <c r="F228" s="15" t="s">
        <v>78</v>
      </c>
      <c r="G228" s="15" t="s">
        <v>79</v>
      </c>
      <c r="H228" s="16" t="s">
        <v>80</v>
      </c>
      <c r="I228" s="15" t="s">
        <v>83</v>
      </c>
      <c r="J228" s="15" t="s">
        <v>84</v>
      </c>
      <c r="K228" s="15" t="s">
        <v>85</v>
      </c>
      <c r="L228" s="15" t="s">
        <v>86</v>
      </c>
      <c r="M228" s="15" t="s">
        <v>87</v>
      </c>
      <c r="N228" s="15" t="s">
        <v>88</v>
      </c>
      <c r="O228" s="16" t="s">
        <v>89</v>
      </c>
      <c r="P228" s="16" t="s">
        <v>90</v>
      </c>
      <c r="R228" s="18"/>
    </row>
    <row r="229" spans="1:18" ht="15.75" thickTop="1" x14ac:dyDescent="0.25">
      <c r="A229" s="19" t="s">
        <v>69</v>
      </c>
      <c r="B229">
        <f>74.68/100</f>
        <v>0.74680000000000002</v>
      </c>
      <c r="C229">
        <f>1/100</f>
        <v>0.01</v>
      </c>
      <c r="D229">
        <f>0.5/100</f>
        <v>5.0000000000000001E-3</v>
      </c>
      <c r="E229">
        <f>1.03/100</f>
        <v>1.03E-2</v>
      </c>
      <c r="F229">
        <f>2.53/100</f>
        <v>2.53E-2</v>
      </c>
      <c r="G229">
        <f>0.26/100</f>
        <v>2.5999999999999999E-3</v>
      </c>
      <c r="H229">
        <f>20/100</f>
        <v>0.2</v>
      </c>
      <c r="I229">
        <v>0.38900000000000001</v>
      </c>
      <c r="J229">
        <f>3.6474/10*1.00202*2^0.5</f>
        <v>0.51686221165453738</v>
      </c>
      <c r="K229">
        <f>3.916/10*1.00202</f>
        <v>0.39239103199999997</v>
      </c>
      <c r="L229">
        <f>2.7003/10*1.00202*2^0.5</f>
        <v>0.38265148602586702</v>
      </c>
      <c r="M229">
        <f>4.0703/10*1.00202</f>
        <v>0.40785220059999994</v>
      </c>
      <c r="N229" s="14">
        <f>4.0413/10*1.00202</f>
        <v>0.40494634259999995</v>
      </c>
      <c r="O229">
        <f>4.0779/10*1.00202</f>
        <v>0.40861373579999993</v>
      </c>
      <c r="P229">
        <f>B229*I229+C229*J229+D229*K229+E229*L229+F229*M229+G229*N229+H229*O229</f>
        <v>0.39467135590855179</v>
      </c>
    </row>
    <row r="233" spans="1:18" x14ac:dyDescent="0.25">
      <c r="A233" t="s">
        <v>91</v>
      </c>
      <c r="B233" t="s">
        <v>60</v>
      </c>
      <c r="C233" t="s">
        <v>61</v>
      </c>
      <c r="D233" t="s">
        <v>92</v>
      </c>
      <c r="E233" t="s">
        <v>93</v>
      </c>
      <c r="F233" t="s">
        <v>94</v>
      </c>
      <c r="G233" t="s">
        <v>59</v>
      </c>
      <c r="H233" t="s">
        <v>306</v>
      </c>
      <c r="I233" t="s">
        <v>318</v>
      </c>
      <c r="J233" t="s">
        <v>319</v>
      </c>
      <c r="K233" t="s">
        <v>298</v>
      </c>
      <c r="L233" t="s">
        <v>320</v>
      </c>
      <c r="M233" t="s">
        <v>201</v>
      </c>
      <c r="N233" t="s">
        <v>95</v>
      </c>
      <c r="O233" t="s">
        <v>4</v>
      </c>
      <c r="P233" t="s">
        <v>6</v>
      </c>
    </row>
    <row r="234" spans="1:18" x14ac:dyDescent="0.25">
      <c r="A234" t="s">
        <v>96</v>
      </c>
      <c r="B234">
        <f>81.42/100</f>
        <v>0.81420000000000003</v>
      </c>
      <c r="C234">
        <f>14.9/100</f>
        <v>0.14899999999999999</v>
      </c>
      <c r="D234">
        <f>1.36/100</f>
        <v>1.3600000000000001E-2</v>
      </c>
      <c r="E234">
        <f>0.38/100</f>
        <v>3.8E-3</v>
      </c>
      <c r="F234">
        <f>0.74/100</f>
        <v>7.4000000000000003E-3</v>
      </c>
      <c r="G234">
        <f>1.19/100</f>
        <v>1.1899999999999999E-2</v>
      </c>
      <c r="H234">
        <v>0.38900000000000001</v>
      </c>
      <c r="I234">
        <f>4.0779/10*1.00202</f>
        <v>0.40861373579999993</v>
      </c>
      <c r="J234">
        <f>4.0703/10*1.00202</f>
        <v>0.40785220059999994</v>
      </c>
      <c r="K234">
        <f>3.916/10*1.00202</f>
        <v>0.39239103199999997</v>
      </c>
      <c r="L234">
        <f>2.7003/10*1.00202*2^0.5</f>
        <v>0.38265148602586702</v>
      </c>
      <c r="M234" s="14">
        <f>4.0413/10*1.00202</f>
        <v>0.40494634259999995</v>
      </c>
      <c r="N234">
        <f>B234*H234+C234*I234+D234*J234+E234*K234+F234*L234+G234*M234</f>
        <v>0.39229560495749138</v>
      </c>
      <c r="O234" t="s">
        <v>97</v>
      </c>
      <c r="P234" t="s">
        <v>98</v>
      </c>
    </row>
    <row r="239" spans="1:18" ht="15.75" thickBot="1" x14ac:dyDescent="0.3"/>
    <row r="240" spans="1:18" ht="18.75" thickBot="1" x14ac:dyDescent="0.4">
      <c r="A240" s="12" t="s">
        <v>91</v>
      </c>
      <c r="B240" s="12" t="s">
        <v>60</v>
      </c>
      <c r="C240" s="12" t="s">
        <v>99</v>
      </c>
      <c r="D240" s="12" t="s">
        <v>94</v>
      </c>
      <c r="E240" s="12" t="s">
        <v>106</v>
      </c>
      <c r="F240" s="12" t="s">
        <v>103</v>
      </c>
      <c r="G240" s="12" t="s">
        <v>105</v>
      </c>
      <c r="H240" t="s">
        <v>102</v>
      </c>
      <c r="I240" t="s">
        <v>4</v>
      </c>
      <c r="J240" t="s">
        <v>6</v>
      </c>
      <c r="K240" t="s">
        <v>101</v>
      </c>
    </row>
    <row r="241" spans="1:11" ht="15.75" thickBot="1" x14ac:dyDescent="0.3">
      <c r="A241" t="s">
        <v>100</v>
      </c>
      <c r="B241">
        <f>93.89/100</f>
        <v>0.93889999999999996</v>
      </c>
      <c r="C241">
        <f>5.58/100</f>
        <v>5.5800000000000002E-2</v>
      </c>
      <c r="D241">
        <f>0.53/100</f>
        <v>5.3E-3</v>
      </c>
      <c r="E241" s="13">
        <v>0.38900000000000001</v>
      </c>
      <c r="F241">
        <f>(((4.5886*1.00202)^2*(4.9367*1.00202))^(1/3))/10</f>
        <v>0.47113145695738901</v>
      </c>
      <c r="G241" s="13">
        <f>2.7003/10*1.00202*2^0.5</f>
        <v>0.38265148602586702</v>
      </c>
      <c r="H241">
        <f>Table17[[#This Row],[Pd]]*Table17[[#This Row],[aPd]]+Table17[[#This Row],[In]]*Table17[[#This Row],[aIn,fcc]]+Table17[[#This Row],[Ru]]*Table17[[#This Row],[aRu,fcc]]</f>
        <v>0.39354928817415941</v>
      </c>
      <c r="I241" t="s">
        <v>107</v>
      </c>
      <c r="J241" t="s">
        <v>108</v>
      </c>
    </row>
    <row r="248" spans="1:11" ht="18" x14ac:dyDescent="0.35">
      <c r="A248" t="s">
        <v>115</v>
      </c>
      <c r="B248" t="s">
        <v>121</v>
      </c>
      <c r="C248" t="s">
        <v>60</v>
      </c>
      <c r="D248" t="s">
        <v>116</v>
      </c>
      <c r="E248" t="s">
        <v>92</v>
      </c>
      <c r="F248" t="s">
        <v>119</v>
      </c>
      <c r="G248" t="s">
        <v>118</v>
      </c>
      <c r="H248" t="s">
        <v>117</v>
      </c>
      <c r="I248" t="s">
        <v>120</v>
      </c>
      <c r="J248" t="s">
        <v>4</v>
      </c>
      <c r="K248" t="s">
        <v>6</v>
      </c>
    </row>
    <row r="249" spans="1:11" x14ac:dyDescent="0.25">
      <c r="A249" t="s">
        <v>113</v>
      </c>
      <c r="B249">
        <v>100</v>
      </c>
      <c r="C249">
        <f>72/B249</f>
        <v>0.72</v>
      </c>
      <c r="D249">
        <f>20/B249</f>
        <v>0.2</v>
      </c>
      <c r="E249">
        <f>8/100</f>
        <v>0.08</v>
      </c>
      <c r="F249">
        <v>0.38900000000000001</v>
      </c>
      <c r="G249">
        <f>3.6074*1.00202/10</f>
        <v>0.36146869479999999</v>
      </c>
      <c r="H249">
        <f>4.0703/10*1.00202</f>
        <v>0.40785220059999994</v>
      </c>
      <c r="I249">
        <f>C249*F249+D249*G249+E249*H249</f>
        <v>0.38500191500800002</v>
      </c>
      <c r="J249" t="s">
        <v>122</v>
      </c>
      <c r="K249" s="1" t="s">
        <v>123</v>
      </c>
    </row>
    <row r="250" spans="1:11" x14ac:dyDescent="0.25">
      <c r="A250" t="s">
        <v>109</v>
      </c>
      <c r="B250">
        <v>100</v>
      </c>
      <c r="C250">
        <f>83/B249</f>
        <v>0.83</v>
      </c>
      <c r="D250">
        <f>10/B250</f>
        <v>0.1</v>
      </c>
      <c r="E250">
        <f>7/B249</f>
        <v>7.0000000000000007E-2</v>
      </c>
      <c r="F250">
        <v>0.38900000000000001</v>
      </c>
      <c r="G250">
        <f>3.6074*1.00202/10</f>
        <v>0.36146869479999999</v>
      </c>
      <c r="H250">
        <f>4.0703/10*1.00202</f>
        <v>0.40785220059999994</v>
      </c>
      <c r="I250">
        <f t="shared" ref="I250:I254" si="2">C250*F250+D250*G250+E250*H250</f>
        <v>0.38756652352199999</v>
      </c>
      <c r="J250" t="s">
        <v>122</v>
      </c>
      <c r="K250" s="1" t="s">
        <v>123</v>
      </c>
    </row>
    <row r="251" spans="1:11" x14ac:dyDescent="0.25">
      <c r="A251" t="s">
        <v>112</v>
      </c>
      <c r="B251">
        <v>100</v>
      </c>
      <c r="C251" s="5">
        <f>74.7/B251</f>
        <v>0.747</v>
      </c>
      <c r="D251">
        <f>19.6/B251</f>
        <v>0.19600000000000001</v>
      </c>
      <c r="E251">
        <f>5.7/B250</f>
        <v>5.7000000000000002E-2</v>
      </c>
      <c r="F251">
        <v>0.38900000000000001</v>
      </c>
      <c r="G251">
        <f t="shared" ref="G251:G254" si="3">3.6074*1.00202/10</f>
        <v>0.36146869479999999</v>
      </c>
      <c r="H251">
        <f t="shared" ref="H251:H254" si="4">4.0703/10*1.00202</f>
        <v>0.40785220059999994</v>
      </c>
      <c r="I251">
        <f t="shared" si="2"/>
        <v>0.38467843961500003</v>
      </c>
      <c r="J251" t="s">
        <v>122</v>
      </c>
      <c r="K251" s="1" t="s">
        <v>123</v>
      </c>
    </row>
    <row r="252" spans="1:11" x14ac:dyDescent="0.25">
      <c r="A252" t="s">
        <v>110</v>
      </c>
      <c r="B252">
        <v>100</v>
      </c>
      <c r="C252">
        <f>55/B252</f>
        <v>0.55000000000000004</v>
      </c>
      <c r="D252">
        <f>41/B252</f>
        <v>0.41</v>
      </c>
      <c r="E252">
        <f>4/B252</f>
        <v>0.04</v>
      </c>
      <c r="F252">
        <v>0.38900000000000001</v>
      </c>
      <c r="G252">
        <f t="shared" si="3"/>
        <v>0.36146869479999999</v>
      </c>
      <c r="H252">
        <f t="shared" si="4"/>
        <v>0.40785220059999994</v>
      </c>
      <c r="I252">
        <f t="shared" si="2"/>
        <v>0.37846625289199998</v>
      </c>
      <c r="J252" t="s">
        <v>122</v>
      </c>
      <c r="K252" s="1" t="s">
        <v>123</v>
      </c>
    </row>
    <row r="253" spans="1:11" x14ac:dyDescent="0.25">
      <c r="A253" t="s">
        <v>114</v>
      </c>
      <c r="B253">
        <v>100</v>
      </c>
      <c r="C253" s="3">
        <f>56/B253</f>
        <v>0.56000000000000005</v>
      </c>
      <c r="D253">
        <f>41/B253</f>
        <v>0.41</v>
      </c>
      <c r="E253">
        <f>3/B253</f>
        <v>0.03</v>
      </c>
      <c r="F253">
        <v>0.38900000000000001</v>
      </c>
      <c r="G253">
        <f t="shared" si="3"/>
        <v>0.36146869479999999</v>
      </c>
      <c r="H253">
        <f t="shared" si="4"/>
        <v>0.40785220059999994</v>
      </c>
      <c r="I253">
        <f t="shared" si="2"/>
        <v>0.37827773088600003</v>
      </c>
      <c r="J253" t="s">
        <v>122</v>
      </c>
      <c r="K253" s="1" t="s">
        <v>123</v>
      </c>
    </row>
    <row r="254" spans="1:11" x14ac:dyDescent="0.25">
      <c r="A254" t="s">
        <v>111</v>
      </c>
      <c r="B254">
        <v>100</v>
      </c>
      <c r="C254">
        <f>72/B254</f>
        <v>0.72</v>
      </c>
      <c r="D254">
        <f>26/B254</f>
        <v>0.26</v>
      </c>
      <c r="E254">
        <f>2/B254</f>
        <v>0.02</v>
      </c>
      <c r="F254">
        <v>0.38900000000000001</v>
      </c>
      <c r="G254">
        <f t="shared" si="3"/>
        <v>0.36146869479999999</v>
      </c>
      <c r="H254">
        <f t="shared" si="4"/>
        <v>0.40785220059999994</v>
      </c>
      <c r="I254">
        <f t="shared" si="2"/>
        <v>0.38221890466000003</v>
      </c>
      <c r="J254" t="s">
        <v>122</v>
      </c>
      <c r="K254" s="1" t="s">
        <v>123</v>
      </c>
    </row>
    <row r="255" spans="1:11" s="29" customFormat="1" x14ac:dyDescent="0.25">
      <c r="A255" s="35" t="s">
        <v>326</v>
      </c>
      <c r="B255" s="29">
        <v>100</v>
      </c>
      <c r="C255" s="29">
        <f>72/Table18[[#This Row],[Conversion]]</f>
        <v>0.72</v>
      </c>
      <c r="D255" s="29">
        <f>27/Table18[[#This Row],[Conversion]]</f>
        <v>0.27</v>
      </c>
      <c r="E255" s="29">
        <f>1/Table18[[#This Row],[Conversion]]</f>
        <v>0.01</v>
      </c>
      <c r="F255">
        <v>0.38900000000000001</v>
      </c>
      <c r="G255" s="29">
        <f>3.6074*1.00202/10</f>
        <v>0.36146869479999999</v>
      </c>
      <c r="H255" s="29">
        <f>4.0703/10*1.00202</f>
        <v>0.40785220059999994</v>
      </c>
      <c r="I255" s="29">
        <f>C255*F255+D255*G255+E255*H255</f>
        <v>0.38175506960200001</v>
      </c>
    </row>
    <row r="256" spans="1:11" s="29" customFormat="1" x14ac:dyDescent="0.25">
      <c r="A256" s="35"/>
    </row>
    <row r="257" spans="1:12" s="29" customFormat="1" x14ac:dyDescent="0.25">
      <c r="A257" s="35"/>
    </row>
    <row r="258" spans="1:12" s="29" customFormat="1" x14ac:dyDescent="0.25">
      <c r="A258" s="35"/>
    </row>
    <row r="260" spans="1:12" ht="18" x14ac:dyDescent="0.35">
      <c r="A260" t="s">
        <v>58</v>
      </c>
      <c r="B260" t="s">
        <v>125</v>
      </c>
      <c r="C260" t="s">
        <v>126</v>
      </c>
      <c r="D260" t="s">
        <v>127</v>
      </c>
      <c r="E260" t="s">
        <v>119</v>
      </c>
      <c r="F260" t="s">
        <v>128</v>
      </c>
      <c r="G260" t="s">
        <v>129</v>
      </c>
      <c r="H260" t="s">
        <v>120</v>
      </c>
      <c r="I260" t="s">
        <v>4</v>
      </c>
      <c r="J260" t="s">
        <v>6</v>
      </c>
    </row>
    <row r="261" spans="1:12" ht="16.5" thickBot="1" x14ac:dyDescent="0.3">
      <c r="A261" t="s">
        <v>130</v>
      </c>
      <c r="B261" s="23">
        <f>80.99/100</f>
        <v>0.80989999999999995</v>
      </c>
      <c r="C261">
        <f>9.45/100</f>
        <v>9.4499999999999987E-2</v>
      </c>
      <c r="D261">
        <f>9.56/100</f>
        <v>9.5600000000000004E-2</v>
      </c>
      <c r="E261">
        <v>0.38900000000000001</v>
      </c>
      <c r="F261" s="13">
        <f>4.0779/10*1.00202</f>
        <v>0.40861373579999993</v>
      </c>
      <c r="G261">
        <f>3.5168*1.00202/10</f>
        <v>0.35239039359999996</v>
      </c>
      <c r="H261">
        <f>B261*E261+C261*F261+D261*G261</f>
        <v>0.38735361966125997</v>
      </c>
      <c r="I261" t="s">
        <v>131</v>
      </c>
      <c r="J261" t="s">
        <v>132</v>
      </c>
    </row>
    <row r="262" spans="1:12" ht="15.75" thickBot="1" x14ac:dyDescent="0.3">
      <c r="A262" t="s">
        <v>133</v>
      </c>
      <c r="B262">
        <f>76/100</f>
        <v>0.76</v>
      </c>
      <c r="C262">
        <f>18/100</f>
        <v>0.18</v>
      </c>
      <c r="D262">
        <f>6/100</f>
        <v>0.06</v>
      </c>
      <c r="E262">
        <v>0.38900000000000001</v>
      </c>
      <c r="F262" s="13">
        <f t="shared" ref="F262:F264" si="5">4.0779/10*1.00202</f>
        <v>0.40861373579999993</v>
      </c>
      <c r="G262">
        <f t="shared" ref="G262:G264" si="6">3.5168*1.00202/10</f>
        <v>0.35239039359999996</v>
      </c>
      <c r="H262">
        <f t="shared" ref="H262:H264" si="7">B262*E262+C262*F262+D262*G262</f>
        <v>0.39033389606000002</v>
      </c>
      <c r="I262" t="s">
        <v>136</v>
      </c>
    </row>
    <row r="263" spans="1:12" ht="15.75" thickBot="1" x14ac:dyDescent="0.3">
      <c r="A263" t="s">
        <v>134</v>
      </c>
      <c r="B263">
        <f>55/100</f>
        <v>0.55000000000000004</v>
      </c>
      <c r="C263">
        <f>28/100</f>
        <v>0.28000000000000003</v>
      </c>
      <c r="D263">
        <f>17/100</f>
        <v>0.17</v>
      </c>
      <c r="E263">
        <v>0.38900000000000001</v>
      </c>
      <c r="F263" s="13">
        <f t="shared" si="5"/>
        <v>0.40861373579999993</v>
      </c>
      <c r="G263">
        <f t="shared" si="6"/>
        <v>0.35239039359999996</v>
      </c>
      <c r="H263">
        <f t="shared" si="7"/>
        <v>0.38826821293600006</v>
      </c>
    </row>
    <row r="264" spans="1:12" ht="15.75" thickBot="1" x14ac:dyDescent="0.3">
      <c r="A264" t="s">
        <v>135</v>
      </c>
      <c r="B264">
        <f>33/100</f>
        <v>0.33</v>
      </c>
      <c r="C264">
        <f>59/100</f>
        <v>0.59</v>
      </c>
      <c r="D264">
        <f>8/100</f>
        <v>0.08</v>
      </c>
      <c r="E264">
        <v>0.38900000000000001</v>
      </c>
      <c r="F264" s="13">
        <f t="shared" si="5"/>
        <v>0.40861373579999993</v>
      </c>
      <c r="G264">
        <f t="shared" si="6"/>
        <v>0.35239039359999996</v>
      </c>
      <c r="H264">
        <f t="shared" si="7"/>
        <v>0.39764333560999998</v>
      </c>
    </row>
    <row r="268" spans="1:12" ht="18" x14ac:dyDescent="0.35">
      <c r="A268" t="s">
        <v>58</v>
      </c>
      <c r="B268" t="s">
        <v>124</v>
      </c>
      <c r="C268" t="s">
        <v>74</v>
      </c>
      <c r="D268" t="s">
        <v>75</v>
      </c>
      <c r="E268" t="s">
        <v>73</v>
      </c>
      <c r="F268" t="s">
        <v>119</v>
      </c>
      <c r="G268" t="s">
        <v>128</v>
      </c>
      <c r="H268" t="s">
        <v>117</v>
      </c>
      <c r="I268" t="s">
        <v>139</v>
      </c>
      <c r="J268" t="s">
        <v>120</v>
      </c>
      <c r="K268" t="s">
        <v>4</v>
      </c>
      <c r="L268" t="s">
        <v>6</v>
      </c>
    </row>
    <row r="269" spans="1:12" ht="15.75" thickBot="1" x14ac:dyDescent="0.3">
      <c r="A269" s="19" t="s">
        <v>138</v>
      </c>
      <c r="B269">
        <f>75.985/100</f>
        <v>0.75985000000000003</v>
      </c>
      <c r="C269">
        <f>19.981/100</f>
        <v>0.19981000000000002</v>
      </c>
      <c r="D269">
        <f>1.368/100</f>
        <v>1.3680000000000001E-2</v>
      </c>
      <c r="E269">
        <f>2.666/100</f>
        <v>2.666E-2</v>
      </c>
      <c r="F269">
        <v>0.38900000000000001</v>
      </c>
      <c r="G269" s="13">
        <f>4.0779/10*1.00202</f>
        <v>0.40861373579999993</v>
      </c>
      <c r="H269">
        <f>4.0703/10*1.00202</f>
        <v>0.40785220059999994</v>
      </c>
      <c r="I269" s="13">
        <f>2.7003/10*1.00202*2^0.5</f>
        <v>0.38265148602586702</v>
      </c>
      <c r="J269" s="26">
        <f>Table20[[#This Row],[XPd]]*Table20[[#This Row],[aPd]]+Table20[[#This Row],[XAg]]*Table20[[#This Row],[aAg]]+Table20[[#This Row],[XAu]]*Table20[[#This Row],[aAu]]+Table20[[#This Row],[XRu]]*Table20[[#This Row],[aRu]]</f>
        <v>0.3930076672718556</v>
      </c>
      <c r="K269" t="s">
        <v>131</v>
      </c>
      <c r="L269" t="s">
        <v>132</v>
      </c>
    </row>
    <row r="280" spans="1:12" x14ac:dyDescent="0.25">
      <c r="A280" t="s">
        <v>148</v>
      </c>
    </row>
    <row r="282" spans="1:12" ht="18" x14ac:dyDescent="0.35">
      <c r="A282" t="s">
        <v>58</v>
      </c>
      <c r="B282" t="s">
        <v>125</v>
      </c>
      <c r="C282" t="s">
        <v>126</v>
      </c>
      <c r="D282" t="s">
        <v>150</v>
      </c>
      <c r="E282" t="s">
        <v>119</v>
      </c>
      <c r="F282" t="s">
        <v>128</v>
      </c>
      <c r="G282" t="s">
        <v>149</v>
      </c>
      <c r="H282" t="s">
        <v>120</v>
      </c>
      <c r="I282" t="s">
        <v>4</v>
      </c>
      <c r="J282" t="s">
        <v>6</v>
      </c>
    </row>
    <row r="283" spans="1:12" ht="15.75" thickBot="1" x14ac:dyDescent="0.3">
      <c r="A283" t="s">
        <v>140</v>
      </c>
      <c r="B283">
        <f>66.8/100</f>
        <v>0.66799999999999993</v>
      </c>
      <c r="C283">
        <f>30.4/100</f>
        <v>0.30399999999999999</v>
      </c>
      <c r="D283">
        <f>2.8/100</f>
        <v>2.7999999999999997E-2</v>
      </c>
      <c r="E283">
        <v>0.38900000000000001</v>
      </c>
      <c r="F283" s="13">
        <f>4.0779/10*1.00202</f>
        <v>0.40861373579999993</v>
      </c>
      <c r="G283">
        <f>3.916/10*1.00202</f>
        <v>0.39239103199999997</v>
      </c>
      <c r="H283">
        <f>Table21[[#This Row],[XPd]]*Table21[[#This Row],[aPd]]+Table21[[#This Row],[XAg]]*Table21[[#This Row],[aAg]]+Table21[[#This Row],[XPt]]*Table21[[#This Row],[aPt]]</f>
        <v>0.39505752457919996</v>
      </c>
      <c r="I283" t="s">
        <v>152</v>
      </c>
      <c r="J283" t="s">
        <v>153</v>
      </c>
    </row>
    <row r="286" spans="1:12" ht="18" x14ac:dyDescent="0.35">
      <c r="A286" t="s">
        <v>58</v>
      </c>
      <c r="B286" t="s">
        <v>125</v>
      </c>
      <c r="C286" t="s">
        <v>126</v>
      </c>
      <c r="D286" t="s">
        <v>137</v>
      </c>
      <c r="E286" t="s">
        <v>154</v>
      </c>
      <c r="F286" t="s">
        <v>119</v>
      </c>
      <c r="G286" t="s">
        <v>128</v>
      </c>
      <c r="H286" t="s">
        <v>117</v>
      </c>
      <c r="I286" t="s">
        <v>155</v>
      </c>
      <c r="J286" t="s">
        <v>120</v>
      </c>
      <c r="K286" t="s">
        <v>4</v>
      </c>
      <c r="L286" t="s">
        <v>6</v>
      </c>
    </row>
    <row r="287" spans="1:12" ht="15.75" thickBot="1" x14ac:dyDescent="0.3">
      <c r="A287" t="s">
        <v>141</v>
      </c>
      <c r="B287">
        <f>66.724/100</f>
        <v>0.66724000000000006</v>
      </c>
      <c r="C287">
        <f>28.343/100</f>
        <v>0.28343000000000002</v>
      </c>
      <c r="D287">
        <f>2.772/100</f>
        <v>2.7719999999999998E-2</v>
      </c>
      <c r="E287">
        <f>2.161/100</f>
        <v>2.1610000000000001E-2</v>
      </c>
      <c r="F287">
        <v>0.38900000000000001</v>
      </c>
      <c r="G287" s="13">
        <f>4.0779/10*1.00202</f>
        <v>0.40861373579999993</v>
      </c>
      <c r="H287" s="13">
        <f>4.0703/10*1.00202</f>
        <v>0.40785220059999994</v>
      </c>
      <c r="I287" s="13">
        <f>2.7003/10*1.00202*2^0.5</f>
        <v>0.38265148602586702</v>
      </c>
      <c r="J287">
        <f>B287*F287+C287*G287+D287*H287+E287*I287</f>
        <v>0.39494451275144504</v>
      </c>
      <c r="K287" t="s">
        <v>152</v>
      </c>
      <c r="L287" t="s">
        <v>153</v>
      </c>
    </row>
    <row r="291" spans="1:10" ht="18" x14ac:dyDescent="0.35">
      <c r="A291" t="s">
        <v>58</v>
      </c>
      <c r="B291" t="s">
        <v>124</v>
      </c>
      <c r="C291" t="s">
        <v>75</v>
      </c>
      <c r="D291" t="s">
        <v>72</v>
      </c>
      <c r="E291" t="s">
        <v>119</v>
      </c>
      <c r="F291" t="s">
        <v>117</v>
      </c>
      <c r="G291" t="s">
        <v>149</v>
      </c>
      <c r="H291" t="s">
        <v>120</v>
      </c>
      <c r="I291" t="s">
        <v>151</v>
      </c>
      <c r="J291" t="s">
        <v>6</v>
      </c>
    </row>
    <row r="292" spans="1:10" ht="15.75" thickBot="1" x14ac:dyDescent="0.3">
      <c r="A292" t="s">
        <v>142</v>
      </c>
      <c r="B292">
        <f>81.18/100</f>
        <v>0.81180000000000008</v>
      </c>
      <c r="C292">
        <f>15.66/100</f>
        <v>0.15659999999999999</v>
      </c>
      <c r="D292">
        <f>3.16/100</f>
        <v>3.1600000000000003E-2</v>
      </c>
      <c r="E292">
        <v>0.38900000000000001</v>
      </c>
      <c r="F292" s="13">
        <f>4.0703/10*1.00202</f>
        <v>0.40785220059999994</v>
      </c>
      <c r="G292">
        <f>3.916/10*1.00202</f>
        <v>0.39239103199999997</v>
      </c>
      <c r="H292">
        <f>Table23[[#This Row],[XPd]]*Table23[[#This Row],[aPd]]+Table23[[#This Row],[XAu]]*Table23[[#This Row],[aAu]]+Table23[[#This Row],[XPt]]*Table23[[#This Row],[aPt]]</f>
        <v>0.39205941122516003</v>
      </c>
      <c r="I292" t="s">
        <v>152</v>
      </c>
      <c r="J292" t="s">
        <v>153</v>
      </c>
    </row>
    <row r="297" spans="1:10" ht="18.75" thickBot="1" x14ac:dyDescent="0.4">
      <c r="A297" s="8" t="s">
        <v>58</v>
      </c>
      <c r="B297" s="8" t="s">
        <v>124</v>
      </c>
      <c r="C297" s="8" t="s">
        <v>75</v>
      </c>
      <c r="D297" s="8" t="s">
        <v>156</v>
      </c>
      <c r="E297" s="8" t="s">
        <v>157</v>
      </c>
      <c r="F297" s="8" t="s">
        <v>158</v>
      </c>
      <c r="G297" s="8" t="s">
        <v>159</v>
      </c>
      <c r="H297" s="8" t="s">
        <v>160</v>
      </c>
      <c r="I297" s="8" t="s">
        <v>151</v>
      </c>
      <c r="J297" s="8" t="s">
        <v>6</v>
      </c>
    </row>
    <row r="298" spans="1:10" ht="15.75" thickBot="1" x14ac:dyDescent="0.3">
      <c r="A298" t="s">
        <v>143</v>
      </c>
      <c r="B298">
        <f>78.94/100</f>
        <v>0.78939999999999999</v>
      </c>
      <c r="C298">
        <f>15.23/100</f>
        <v>0.15229999999999999</v>
      </c>
      <c r="D298">
        <f>5.83/100</f>
        <v>5.8299999999999998E-2</v>
      </c>
      <c r="E298" s="13">
        <v>0.38900000000000001</v>
      </c>
      <c r="F298" s="13">
        <f>4.0703/10*1.00202</f>
        <v>0.40785220059999994</v>
      </c>
      <c r="G298">
        <f>3.7968*1.00202/10</f>
        <v>0.38044695360000003</v>
      </c>
      <c r="H298">
        <f>B298*E298+C298*F298+D298*G298</f>
        <v>0.39137254754626</v>
      </c>
      <c r="I298" t="s">
        <v>152</v>
      </c>
      <c r="J298" t="s">
        <v>153</v>
      </c>
    </row>
    <row r="301" spans="1:10" ht="18.75" thickBot="1" x14ac:dyDescent="0.4">
      <c r="A301" s="8" t="s">
        <v>58</v>
      </c>
      <c r="B301" s="8" t="s">
        <v>124</v>
      </c>
      <c r="C301" s="8" t="s">
        <v>74</v>
      </c>
      <c r="D301" s="8" t="s">
        <v>156</v>
      </c>
      <c r="E301" s="8" t="s">
        <v>157</v>
      </c>
      <c r="F301" s="8" t="s">
        <v>161</v>
      </c>
      <c r="G301" s="8" t="s">
        <v>159</v>
      </c>
      <c r="H301" s="8" t="s">
        <v>160</v>
      </c>
      <c r="I301" s="8" t="s">
        <v>151</v>
      </c>
      <c r="J301" s="28" t="s">
        <v>6</v>
      </c>
    </row>
    <row r="302" spans="1:10" ht="15.75" thickBot="1" x14ac:dyDescent="0.3">
      <c r="A302" t="s">
        <v>144</v>
      </c>
      <c r="B302">
        <f t="shared" ref="B302" si="8">68.24/100</f>
        <v>0.6823999999999999</v>
      </c>
      <c r="C302">
        <f t="shared" ref="C302" si="9">29.69/100</f>
        <v>0.2969</v>
      </c>
      <c r="D302">
        <f t="shared" ref="D302" si="10">2.08/100</f>
        <v>2.0799999999999999E-2</v>
      </c>
      <c r="E302">
        <v>0.38900000000000001</v>
      </c>
      <c r="F302" s="13">
        <f>4.0779/10*1.00202</f>
        <v>0.40861373579999993</v>
      </c>
      <c r="G302" s="13">
        <f>3.7968*1.00202/10</f>
        <v>0.38044695360000003</v>
      </c>
      <c r="H302">
        <f>B302*E302+C302*F302+D302*G302</f>
        <v>0.39468431479389993</v>
      </c>
      <c r="I302" s="13" t="s">
        <v>152</v>
      </c>
      <c r="J302" s="24" t="s">
        <v>153</v>
      </c>
    </row>
    <row r="303" spans="1:10" ht="15.75" thickBot="1" x14ac:dyDescent="0.3">
      <c r="A303" t="s">
        <v>145</v>
      </c>
      <c r="B303">
        <f>68.21/100</f>
        <v>0.68209999999999993</v>
      </c>
      <c r="C303">
        <f>29.68/100</f>
        <v>0.29680000000000001</v>
      </c>
      <c r="D303">
        <f>2.11/100</f>
        <v>2.1099999999999997E-2</v>
      </c>
      <c r="E303">
        <v>0.38900000000000001</v>
      </c>
      <c r="F303" s="25">
        <f>4.0779/10*1.00202</f>
        <v>0.40861373579999993</v>
      </c>
      <c r="G303" s="25">
        <f>3.7968*1.00202/10</f>
        <v>0.38044695360000003</v>
      </c>
      <c r="H303">
        <f>B303*E303+C303*F303+D303*G303</f>
        <v>0.39464088750639997</v>
      </c>
      <c r="I303" s="13" t="s">
        <v>152</v>
      </c>
      <c r="J303" s="24" t="s">
        <v>153</v>
      </c>
    </row>
    <row r="307" spans="1:18" ht="18.75" thickBot="1" x14ac:dyDescent="0.4">
      <c r="A307" s="8" t="s">
        <v>58</v>
      </c>
      <c r="B307" s="8" t="s">
        <v>124</v>
      </c>
      <c r="C307" s="8" t="s">
        <v>74</v>
      </c>
      <c r="D307" s="8" t="s">
        <v>162</v>
      </c>
      <c r="E307" s="8" t="s">
        <v>157</v>
      </c>
      <c r="F307" s="8" t="s">
        <v>161</v>
      </c>
      <c r="G307" s="8" t="s">
        <v>163</v>
      </c>
      <c r="H307" s="8" t="s">
        <v>160</v>
      </c>
      <c r="I307" s="8" t="s">
        <v>151</v>
      </c>
      <c r="J307" s="28" t="s">
        <v>6</v>
      </c>
    </row>
    <row r="308" spans="1:18" ht="15.75" thickBot="1" x14ac:dyDescent="0.3">
      <c r="A308" t="s">
        <v>146</v>
      </c>
      <c r="B308">
        <f>68.9/100</f>
        <v>0.68900000000000006</v>
      </c>
      <c r="C308">
        <f>29.98/100</f>
        <v>0.29980000000000001</v>
      </c>
      <c r="D308">
        <f>1.12/100</f>
        <v>1.1200000000000002E-2</v>
      </c>
      <c r="E308">
        <v>0.38900000000000001</v>
      </c>
      <c r="F308" s="13">
        <f>4.0779/10*1.00202</f>
        <v>0.40861373579999993</v>
      </c>
      <c r="G308">
        <f>3.831*1.00202/10</f>
        <v>0.38387386199999995</v>
      </c>
      <c r="H308">
        <f>B308*E308+C308*F308+D308*G308</f>
        <v>0.39482278524723996</v>
      </c>
      <c r="I308" s="13" t="s">
        <v>152</v>
      </c>
      <c r="J308" s="24" t="s">
        <v>153</v>
      </c>
    </row>
    <row r="312" spans="1:18" ht="15.75" thickBot="1" x14ac:dyDescent="0.3"/>
    <row r="313" spans="1:18" ht="18.75" thickBot="1" x14ac:dyDescent="0.4">
      <c r="A313" s="12" t="s">
        <v>58</v>
      </c>
      <c r="B313" s="12" t="s">
        <v>124</v>
      </c>
      <c r="C313" s="12" t="s">
        <v>164</v>
      </c>
      <c r="D313" s="12" t="s">
        <v>75</v>
      </c>
      <c r="E313" s="21" t="s">
        <v>72</v>
      </c>
      <c r="F313" s="12" t="s">
        <v>157</v>
      </c>
      <c r="G313" s="12" t="s">
        <v>166</v>
      </c>
      <c r="H313" s="12" t="s">
        <v>158</v>
      </c>
      <c r="I313" s="21" t="s">
        <v>165</v>
      </c>
      <c r="J313" s="12" t="s">
        <v>160</v>
      </c>
      <c r="K313" s="12" t="s">
        <v>151</v>
      </c>
      <c r="L313" s="12" t="s">
        <v>6</v>
      </c>
    </row>
    <row r="314" spans="1:18" ht="15.75" thickBot="1" x14ac:dyDescent="0.3">
      <c r="A314" t="s">
        <v>147</v>
      </c>
      <c r="B314">
        <f>68.226/100</f>
        <v>0.68225999999999998</v>
      </c>
      <c r="C314">
        <f>17.574/100</f>
        <v>0.17574000000000001</v>
      </c>
      <c r="D314">
        <f>11.338/100</f>
        <v>0.11337999999999999</v>
      </c>
      <c r="E314">
        <f>2.862/100</f>
        <v>2.862E-2</v>
      </c>
      <c r="F314">
        <v>0.38900000000000001</v>
      </c>
      <c r="G314" s="10">
        <f>3.6074*1.00202/10</f>
        <v>0.36146869479999999</v>
      </c>
      <c r="H314" s="13">
        <f>4.0703/10*1.00202</f>
        <v>0.40785220059999994</v>
      </c>
      <c r="I314" s="13">
        <f>3.916/10*1.00202</f>
        <v>0.39239103199999997</v>
      </c>
      <c r="J314">
        <f>Table27[[#This Row],[XPd]]*Table27[[#This Row],[aPdPd]]+Table27[[#This Row],[XCu]]*Table27[[#This Row],[aCu]]+Table27[[#This Row],[XAu]]*Table27[[#This Row],[aAu]]+Table27[[#This Row],[XPt]]*Table27[[#This Row],[aPt]]</f>
        <v>0.38639616226402002</v>
      </c>
      <c r="K314" s="13" t="s">
        <v>152</v>
      </c>
      <c r="L314" s="24" t="s">
        <v>153</v>
      </c>
    </row>
    <row r="318" spans="1:18" ht="15.75" thickBot="1" x14ac:dyDescent="0.3"/>
    <row r="319" spans="1:18" ht="18.75" thickBot="1" x14ac:dyDescent="0.4">
      <c r="A319" s="12" t="s">
        <v>58</v>
      </c>
      <c r="B319" s="12" t="s">
        <v>124</v>
      </c>
      <c r="C319" s="12" t="s">
        <v>164</v>
      </c>
      <c r="D319" s="12" t="s">
        <v>75</v>
      </c>
      <c r="E319" s="12" t="s">
        <v>72</v>
      </c>
      <c r="F319" s="21" t="s">
        <v>156</v>
      </c>
      <c r="G319" s="21" t="s">
        <v>73</v>
      </c>
      <c r="H319" s="21" t="s">
        <v>167</v>
      </c>
      <c r="I319" s="12" t="s">
        <v>157</v>
      </c>
      <c r="J319" s="12" t="s">
        <v>166</v>
      </c>
      <c r="K319" s="12" t="s">
        <v>158</v>
      </c>
      <c r="L319" s="12" t="s">
        <v>165</v>
      </c>
      <c r="M319" s="21" t="s">
        <v>159</v>
      </c>
      <c r="N319" s="21" t="s">
        <v>104</v>
      </c>
      <c r="O319" s="21" t="s">
        <v>168</v>
      </c>
      <c r="P319" s="12" t="s">
        <v>160</v>
      </c>
      <c r="Q319" s="12" t="s">
        <v>151</v>
      </c>
      <c r="R319" s="20" t="s">
        <v>6</v>
      </c>
    </row>
    <row r="320" spans="1:18" ht="15.75" thickBot="1" x14ac:dyDescent="0.3">
      <c r="A320" t="s">
        <v>148</v>
      </c>
      <c r="B320">
        <f>66.712/100</f>
        <v>0.66712000000000005</v>
      </c>
      <c r="C320">
        <f>17.184/100</f>
        <v>0.17184000000000002</v>
      </c>
      <c r="D320">
        <f>11.087/100</f>
        <v>0.11087</v>
      </c>
      <c r="E320">
        <f>0.56/100</f>
        <v>5.6000000000000008E-3</v>
      </c>
      <c r="F320">
        <f>2.123/100</f>
        <v>2.1230000000000002E-2</v>
      </c>
      <c r="G320">
        <f>1.944/100</f>
        <v>1.9439999999999999E-2</v>
      </c>
      <c r="H320">
        <f>0.391/100</f>
        <v>3.9100000000000003E-3</v>
      </c>
      <c r="I320" s="13">
        <v>0.38900000000000001</v>
      </c>
      <c r="J320" s="10">
        <f>3.6074*1.00202/10</f>
        <v>0.36146869479999999</v>
      </c>
      <c r="K320" s="13">
        <f>4.0703/10*1.00202</f>
        <v>0.40785220059999994</v>
      </c>
      <c r="L320" s="13">
        <f>3.916/10*1.00202</f>
        <v>0.39239103199999997</v>
      </c>
      <c r="M320" s="13">
        <f>3.7968*1.00202/10</f>
        <v>0.38044695360000003</v>
      </c>
      <c r="N320" s="13">
        <f>2.7003/10*1.00202*2^0.5</f>
        <v>0.38265148602586702</v>
      </c>
      <c r="O320">
        <f>2.8605*1.00202/10</f>
        <v>0.286627821</v>
      </c>
      <c r="P320">
        <f>B320*I320+C320*J320+D320*K320+E320*L320+F320*M320+G320*N320+H320*O320</f>
        <v>0.38567677226753488</v>
      </c>
      <c r="Q320" s="13" t="s">
        <v>152</v>
      </c>
      <c r="R320" s="24" t="s">
        <v>153</v>
      </c>
    </row>
    <row r="325" spans="1:12" ht="18.75" thickBot="1" x14ac:dyDescent="0.4">
      <c r="A325" s="8" t="s">
        <v>58</v>
      </c>
      <c r="B325" s="8" t="s">
        <v>124</v>
      </c>
      <c r="C325" s="8" t="s">
        <v>172</v>
      </c>
      <c r="D325" s="8" t="s">
        <v>73</v>
      </c>
      <c r="E325" s="8" t="s">
        <v>171</v>
      </c>
      <c r="F325" s="8" t="s">
        <v>157</v>
      </c>
      <c r="G325" s="8" t="s">
        <v>173</v>
      </c>
      <c r="H325" s="8" t="s">
        <v>104</v>
      </c>
      <c r="I325" s="8" t="s">
        <v>174</v>
      </c>
      <c r="J325" s="8" t="s">
        <v>160</v>
      </c>
      <c r="K325" s="8" t="s">
        <v>151</v>
      </c>
      <c r="L325" s="8" t="s">
        <v>6</v>
      </c>
    </row>
    <row r="326" spans="1:12" ht="15.75" thickBot="1" x14ac:dyDescent="0.3">
      <c r="A326" t="s">
        <v>169</v>
      </c>
      <c r="B326">
        <f>92.4/100</f>
        <v>0.92400000000000004</v>
      </c>
      <c r="C326">
        <f>5.55/100</f>
        <v>5.5500000000000001E-2</v>
      </c>
      <c r="D326">
        <f>0.52/100</f>
        <v>5.1999999999999998E-3</v>
      </c>
      <c r="E326">
        <f>1.53/100</f>
        <v>1.5300000000000001E-2</v>
      </c>
      <c r="F326" s="13">
        <v>0.38900000000000001</v>
      </c>
      <c r="G326" s="13">
        <f>(((4.5886*1.00202)^2*(4.9367*1.00202))^(1/3))/10</f>
        <v>0.47113145695738901</v>
      </c>
      <c r="H326" s="13">
        <f>2.7003/10*1.00202*2^0.5</f>
        <v>0.38265148602586702</v>
      </c>
      <c r="I326">
        <f>3.537*1.00202/10</f>
        <v>0.35441447399999998</v>
      </c>
      <c r="J326">
        <f>Table30[[#This Row],[XPd]]*Table30[[#This Row],[aPdPd]]+Table30[[#This Row],[XIn]]*Table30[[#This Row],[aIn]]+Table30[[#This Row],[XRu]]*Table30[[#This Row],[aRu]]+Table30[[#This Row],[XCo]]*Table30[[#This Row],[aCo]]</f>
        <v>0.39299612504066961</v>
      </c>
    </row>
    <row r="327" spans="1:12" ht="15.75" thickBot="1" x14ac:dyDescent="0.3">
      <c r="A327" t="s">
        <v>170</v>
      </c>
      <c r="B327">
        <f>91.71/100</f>
        <v>0.91709999999999992</v>
      </c>
      <c r="C327">
        <f>5.53/100</f>
        <v>5.5300000000000002E-2</v>
      </c>
      <c r="D327">
        <f>0.52/100</f>
        <v>5.1999999999999998E-3</v>
      </c>
      <c r="E327">
        <f>2.24/100</f>
        <v>2.2400000000000003E-2</v>
      </c>
      <c r="F327" s="13">
        <v>0.38900000000000001</v>
      </c>
      <c r="G327" s="13">
        <f>(((4.5886*1.00202)^2*(4.9367*1.00202))^(1/3))/10</f>
        <v>0.47113145695738901</v>
      </c>
      <c r="H327" s="13">
        <f>2.7003/10*1.00202*2^0.5</f>
        <v>0.38265148602586702</v>
      </c>
      <c r="I327">
        <f>3.537*1.00202/10</f>
        <v>0.35441447399999998</v>
      </c>
      <c r="J327">
        <f>Table30[[#This Row],[XPd]]*Table30[[#This Row],[aPdPd]]+Table30[[#This Row],[XIn]]*Table30[[#This Row],[aIn]]+Table30[[#This Row],[XRu]]*Table30[[#This Row],[aRu]]+Table30[[#This Row],[XCo]]*Table30[[#This Row],[aCo]]</f>
        <v>0.39273414151467811</v>
      </c>
    </row>
    <row r="331" spans="1:12" ht="18.75" thickBot="1" x14ac:dyDescent="0.4">
      <c r="A331" s="8" t="s">
        <v>58</v>
      </c>
      <c r="B331" s="8" t="s">
        <v>181</v>
      </c>
      <c r="C331" s="8" t="s">
        <v>182</v>
      </c>
      <c r="D331" s="8" t="s">
        <v>183</v>
      </c>
      <c r="E331" s="8" t="s">
        <v>157</v>
      </c>
      <c r="F331" s="8" t="s">
        <v>166</v>
      </c>
      <c r="G331" s="8" t="s">
        <v>180</v>
      </c>
      <c r="H331" s="8" t="s">
        <v>160</v>
      </c>
      <c r="I331" s="27" t="s">
        <v>151</v>
      </c>
      <c r="J331" s="27" t="s">
        <v>6</v>
      </c>
    </row>
    <row r="332" spans="1:12" x14ac:dyDescent="0.25">
      <c r="A332" t="s">
        <v>175</v>
      </c>
      <c r="B332">
        <f>46.28/100</f>
        <v>0.46279999999999999</v>
      </c>
      <c r="C332">
        <f>51.73/100</f>
        <v>0.51729999999999998</v>
      </c>
      <c r="D332">
        <f>1.99/100</f>
        <v>1.9900000000000001E-2</v>
      </c>
      <c r="E332">
        <v>0.38900000000000001</v>
      </c>
      <c r="F332" s="10">
        <f>3.6074*1.00202/10</f>
        <v>0.36146869479999999</v>
      </c>
      <c r="G332">
        <f>8.895*1.00202/10</f>
        <v>0.89129678999999984</v>
      </c>
      <c r="H332">
        <f>B332*E332+C332*F332+D332*G332</f>
        <v>0.38475376194104</v>
      </c>
      <c r="I332" t="s">
        <v>184</v>
      </c>
      <c r="J332" t="s">
        <v>185</v>
      </c>
    </row>
    <row r="333" spans="1:12" x14ac:dyDescent="0.25">
      <c r="A333" t="s">
        <v>176</v>
      </c>
      <c r="B333">
        <f>47.24/100</f>
        <v>0.47240000000000004</v>
      </c>
      <c r="C333">
        <f>52.71/100</f>
        <v>0.52710000000000001</v>
      </c>
      <c r="D333">
        <f>0.05/100</f>
        <v>5.0000000000000001E-4</v>
      </c>
      <c r="E333">
        <v>0.38900000000000001</v>
      </c>
      <c r="F333" s="10">
        <f t="shared" ref="F333:F336" si="11">3.6074*1.00202/10</f>
        <v>0.36146869479999999</v>
      </c>
      <c r="G333">
        <f t="shared" ref="G333:G336" si="12">8.895*1.00202/10</f>
        <v>0.89129678999999984</v>
      </c>
      <c r="H333">
        <f t="shared" ref="H333:H335" si="13">B333*E333+C333*F333+D333*G333</f>
        <v>0.37473939742408002</v>
      </c>
      <c r="I333" t="s">
        <v>184</v>
      </c>
      <c r="J333" t="s">
        <v>185</v>
      </c>
    </row>
    <row r="334" spans="1:12" x14ac:dyDescent="0.25">
      <c r="A334" t="s">
        <v>177</v>
      </c>
      <c r="B334">
        <f>47.24/100</f>
        <v>0.47240000000000004</v>
      </c>
      <c r="C334">
        <f>52.46/100</f>
        <v>0.52459999999999996</v>
      </c>
      <c r="D334">
        <f>0.3/100</f>
        <v>3.0000000000000001E-3</v>
      </c>
      <c r="E334">
        <v>0.38900000000000001</v>
      </c>
      <c r="F334" s="10">
        <f t="shared" si="11"/>
        <v>0.36146869479999999</v>
      </c>
      <c r="G334">
        <f t="shared" si="12"/>
        <v>0.89129678999999984</v>
      </c>
      <c r="H334">
        <f t="shared" si="13"/>
        <v>0.37606396766208</v>
      </c>
      <c r="I334" t="s">
        <v>184</v>
      </c>
      <c r="J334" t="s">
        <v>185</v>
      </c>
    </row>
    <row r="335" spans="1:12" x14ac:dyDescent="0.25">
      <c r="A335" t="s">
        <v>178</v>
      </c>
      <c r="B335">
        <f>46.77/100</f>
        <v>0.4677</v>
      </c>
      <c r="C335">
        <f>52.24/100</f>
        <v>0.52239999999999998</v>
      </c>
      <c r="D335">
        <f>0.99/100</f>
        <v>9.8999999999999991E-3</v>
      </c>
      <c r="E335">
        <v>0.38900000000000001</v>
      </c>
      <c r="F335" s="10">
        <f t="shared" si="11"/>
        <v>0.36146869479999999</v>
      </c>
      <c r="G335">
        <f t="shared" si="12"/>
        <v>0.89129678999999984</v>
      </c>
      <c r="H335">
        <f t="shared" si="13"/>
        <v>0.37959038438452003</v>
      </c>
      <c r="I335" t="s">
        <v>184</v>
      </c>
      <c r="J335" t="s">
        <v>185</v>
      </c>
    </row>
    <row r="336" spans="1:12" x14ac:dyDescent="0.25">
      <c r="A336" t="s">
        <v>179</v>
      </c>
      <c r="B336">
        <f>47.01/100</f>
        <v>0.47009999999999996</v>
      </c>
      <c r="C336">
        <f>52.49/100</f>
        <v>0.52490000000000003</v>
      </c>
      <c r="D336">
        <f>0.5/100</f>
        <v>5.0000000000000001E-3</v>
      </c>
      <c r="E336">
        <v>0.38900000000000001</v>
      </c>
      <c r="F336" s="10">
        <f t="shared" si="11"/>
        <v>0.36146869479999999</v>
      </c>
      <c r="G336">
        <f t="shared" si="12"/>
        <v>0.89129678999999984</v>
      </c>
      <c r="H336">
        <f>B336*E336+C336*F336+D336*G336</f>
        <v>0.37706030185051997</v>
      </c>
      <c r="I336" t="s">
        <v>184</v>
      </c>
      <c r="J336" t="s">
        <v>185</v>
      </c>
    </row>
    <row r="339" spans="1:13" ht="18" x14ac:dyDescent="0.35">
      <c r="A339" t="s">
        <v>186</v>
      </c>
      <c r="B339" t="s">
        <v>187</v>
      </c>
      <c r="C339" t="s">
        <v>188</v>
      </c>
      <c r="D339" t="s">
        <v>191</v>
      </c>
      <c r="E339" t="s">
        <v>189</v>
      </c>
      <c r="F339" t="s">
        <v>190</v>
      </c>
      <c r="G339" t="s">
        <v>192</v>
      </c>
      <c r="H339" t="s">
        <v>235</v>
      </c>
      <c r="I339" t="s">
        <v>95</v>
      </c>
      <c r="J339" t="s">
        <v>4</v>
      </c>
      <c r="K339" t="s">
        <v>6</v>
      </c>
    </row>
    <row r="340" spans="1:13" x14ac:dyDescent="0.25">
      <c r="A340" s="10" t="s">
        <v>175</v>
      </c>
      <c r="B340">
        <f>46.28/(1-1.99/100)</f>
        <v>47.219671462095704</v>
      </c>
      <c r="C340">
        <f>51.73/(1-1.99/100)</f>
        <v>52.780328537904296</v>
      </c>
      <c r="D340">
        <v>1.99</v>
      </c>
      <c r="E340" s="29">
        <f xml:space="preserve"> (1.57*0.001)*B340 + 2.9</f>
        <v>2.97413488419549</v>
      </c>
      <c r="F340">
        <f>1-D340/100</f>
        <v>0.98009999999999997</v>
      </c>
      <c r="G340" s="10">
        <f>8.895*1.00202/10</f>
        <v>0.89129678999999984</v>
      </c>
      <c r="H340">
        <f>F340*E340+D340/100*G340</f>
        <v>2.9326864061209994</v>
      </c>
      <c r="I340">
        <f>Table29[[#This Row],[aAlloy (A)]]/10</f>
        <v>0.29326864061209995</v>
      </c>
      <c r="J340" t="s">
        <v>184</v>
      </c>
      <c r="K340" t="s">
        <v>185</v>
      </c>
    </row>
    <row r="341" spans="1:13" x14ac:dyDescent="0.25">
      <c r="A341" s="11" t="s">
        <v>176</v>
      </c>
      <c r="B341">
        <f>47.24/(1-0.05/100)</f>
        <v>47.263631815907956</v>
      </c>
      <c r="C341">
        <f>52.71/(1-0.05/100)</f>
        <v>52.736368184092044</v>
      </c>
      <c r="D341">
        <v>0.05</v>
      </c>
      <c r="E341" s="29">
        <f xml:space="preserve"> (1.57*0.001)*B341 + 2.9</f>
        <v>2.9742039019509754</v>
      </c>
      <c r="F341">
        <f t="shared" ref="F341:F343" si="14">1-D341/100</f>
        <v>0.99950000000000006</v>
      </c>
      <c r="G341" s="10">
        <f t="shared" ref="G341:G343" si="15">8.895*1.00202/10</f>
        <v>0.89129678999999984</v>
      </c>
      <c r="H341">
        <f t="shared" ref="H341:H343" si="16">F341*E341+D341/100*G341</f>
        <v>2.9731624483950001</v>
      </c>
      <c r="I341">
        <f>Table29[[#This Row],[aAlloy (A)]]/10</f>
        <v>0.29731624483950003</v>
      </c>
      <c r="J341" t="s">
        <v>184</v>
      </c>
      <c r="K341" t="s">
        <v>185</v>
      </c>
    </row>
    <row r="342" spans="1:13" x14ac:dyDescent="0.25">
      <c r="A342" s="10" t="s">
        <v>177</v>
      </c>
      <c r="B342">
        <f>47.24/(1-0.3/100)</f>
        <v>47.382146439317957</v>
      </c>
      <c r="C342">
        <f>52.46/(1-0.3/100)</f>
        <v>52.61785356068205</v>
      </c>
      <c r="D342">
        <v>0.3</v>
      </c>
      <c r="E342" s="29">
        <f xml:space="preserve"> (1.57*0.001)*B342 + 2.9</f>
        <v>2.9743899699097289</v>
      </c>
      <c r="F342">
        <f t="shared" si="14"/>
        <v>0.997</v>
      </c>
      <c r="G342" s="10">
        <f t="shared" si="15"/>
        <v>0.89129678999999984</v>
      </c>
      <c r="H342">
        <f t="shared" si="16"/>
        <v>2.9681406903699998</v>
      </c>
      <c r="I342">
        <f>Table29[[#This Row],[aAlloy (A)]]/10</f>
        <v>0.29681406903699997</v>
      </c>
      <c r="J342" t="s">
        <v>184</v>
      </c>
      <c r="K342" t="s">
        <v>185</v>
      </c>
    </row>
    <row r="343" spans="1:13" x14ac:dyDescent="0.25">
      <c r="A343" s="11" t="s">
        <v>178</v>
      </c>
      <c r="B343">
        <f>46.77/(1-0.99/100)</f>
        <v>47.237652762347238</v>
      </c>
      <c r="C343">
        <f>52.24/(1-0.99/100)</f>
        <v>52.762347237652769</v>
      </c>
      <c r="D343">
        <v>0.99</v>
      </c>
      <c r="E343" s="29">
        <f xml:space="preserve"> (1.57*0.001)*B343 + 2.9</f>
        <v>2.9741631148368852</v>
      </c>
      <c r="F343">
        <f t="shared" si="14"/>
        <v>0.99009999999999998</v>
      </c>
      <c r="G343" s="10">
        <f t="shared" si="15"/>
        <v>0.89129678999999984</v>
      </c>
      <c r="H343">
        <f t="shared" si="16"/>
        <v>2.953542738221</v>
      </c>
      <c r="I343">
        <f>Table29[[#This Row],[aAlloy (A)]]/10</f>
        <v>0.2953542738221</v>
      </c>
      <c r="J343" t="s">
        <v>184</v>
      </c>
      <c r="K343" t="s">
        <v>185</v>
      </c>
    </row>
    <row r="344" spans="1:13" ht="15.75" thickBot="1" x14ac:dyDescent="0.3">
      <c r="A344" s="13" t="s">
        <v>179</v>
      </c>
      <c r="B344">
        <f>47.01/(1-0.5/100)</f>
        <v>47.246231155778894</v>
      </c>
      <c r="C344">
        <f>52.49/(1-0.5/100)</f>
        <v>52.753768844221106</v>
      </c>
      <c r="D344">
        <v>0.5</v>
      </c>
      <c r="E344" s="29">
        <f xml:space="preserve"> (1.57*0.001)*B344 + 2.9</f>
        <v>2.974176582914573</v>
      </c>
      <c r="F344">
        <f>1-D344/100</f>
        <v>0.995</v>
      </c>
      <c r="G344" s="10">
        <f>8.895*1.00202/10</f>
        <v>0.89129678999999984</v>
      </c>
      <c r="H344">
        <f>F344*E344+D344/100*G344</f>
        <v>2.9637621839500001</v>
      </c>
      <c r="I344">
        <f>Table29[[#This Row],[aAlloy (A)]]/10</f>
        <v>0.296376218395</v>
      </c>
      <c r="J344" t="s">
        <v>184</v>
      </c>
      <c r="K344" t="s">
        <v>185</v>
      </c>
    </row>
    <row r="345" spans="1:13" x14ac:dyDescent="0.25">
      <c r="D345" s="29"/>
    </row>
    <row r="350" spans="1:13" ht="18" x14ac:dyDescent="0.35">
      <c r="A350" t="s">
        <v>196</v>
      </c>
      <c r="B350" t="s">
        <v>124</v>
      </c>
      <c r="C350" t="s">
        <v>164</v>
      </c>
      <c r="D350" t="s">
        <v>198</v>
      </c>
      <c r="E350" t="s">
        <v>228</v>
      </c>
      <c r="F350" t="s">
        <v>229</v>
      </c>
      <c r="G350" t="s">
        <v>199</v>
      </c>
      <c r="H350" t="s">
        <v>200</v>
      </c>
      <c r="I350" t="s">
        <v>201</v>
      </c>
      <c r="J350" t="s">
        <v>234</v>
      </c>
      <c r="K350" t="s">
        <v>95</v>
      </c>
      <c r="L350" t="s">
        <v>4</v>
      </c>
      <c r="M350" t="s">
        <v>6</v>
      </c>
    </row>
    <row r="351" spans="1:13" s="29" customFormat="1" x14ac:dyDescent="0.25">
      <c r="A351" s="29" t="s">
        <v>193</v>
      </c>
      <c r="B351" s="29">
        <f>45.75</f>
        <v>45.75</v>
      </c>
      <c r="C351" s="29">
        <v>53.7</v>
      </c>
      <c r="D351" s="29">
        <v>0.55000000000000004</v>
      </c>
      <c r="E351" s="29">
        <f>B351/(1-D351/100)</f>
        <v>46.003016591251885</v>
      </c>
      <c r="F351" s="29">
        <f>C351/(1-D351/100)</f>
        <v>53.996983408748115</v>
      </c>
      <c r="G351" s="29">
        <f>(1.57*0.001)*E351 + 2.9</f>
        <v>2.9722247360482652</v>
      </c>
      <c r="H351" s="29">
        <f t="shared" ref="H351:H378" si="17">1-D351/100</f>
        <v>0.99450000000000005</v>
      </c>
      <c r="I351" s="30">
        <f>4.0413/10*1.00202</f>
        <v>0.40494634259999995</v>
      </c>
      <c r="J351" s="29">
        <f>H351*G351+D351*I351/100</f>
        <v>2.9581047048842999</v>
      </c>
      <c r="K351" s="29">
        <f>J351/10</f>
        <v>0.29581047048843001</v>
      </c>
    </row>
    <row r="352" spans="1:13" s="29" customFormat="1" x14ac:dyDescent="0.25">
      <c r="A352" s="29" t="s">
        <v>194</v>
      </c>
      <c r="B352" s="29">
        <v>44.5</v>
      </c>
      <c r="C352" s="29">
        <v>55</v>
      </c>
      <c r="D352" s="29">
        <v>0.5</v>
      </c>
      <c r="E352" s="29">
        <f>B352/(1-D352/100)</f>
        <v>44.723618090452263</v>
      </c>
      <c r="F352" s="29">
        <f t="shared" ref="F352:F378" si="18">C352/(1-D352/100)</f>
        <v>55.276381909547737</v>
      </c>
      <c r="G352" s="29">
        <f t="shared" ref="G352:G378" si="19">(1.57*0.001)*E352 + 2.9</f>
        <v>2.9702160804020101</v>
      </c>
      <c r="H352" s="29">
        <f t="shared" si="17"/>
        <v>0.995</v>
      </c>
      <c r="I352" s="30">
        <f t="shared" ref="I352:I378" si="20">4.0413/10*1.00202</f>
        <v>0.40494634259999995</v>
      </c>
      <c r="J352" s="29">
        <f t="shared" ref="J352:J377" si="21">H352*G352+D352*I352/100</f>
        <v>2.957389731713</v>
      </c>
      <c r="K352" s="29">
        <f t="shared" ref="K352:K378" si="22">J352/10</f>
        <v>0.29573897317129999</v>
      </c>
    </row>
    <row r="353" spans="1:11" s="29" customFormat="1" x14ac:dyDescent="0.25">
      <c r="A353" s="29" t="s">
        <v>195</v>
      </c>
      <c r="B353" s="29">
        <v>46.69</v>
      </c>
      <c r="C353" s="29">
        <v>52.86</v>
      </c>
      <c r="D353" s="29">
        <v>0.46</v>
      </c>
      <c r="E353" s="29">
        <f t="shared" ref="E353:E378" si="23">B353/(1-D353/100)</f>
        <v>46.90576652601969</v>
      </c>
      <c r="F353" s="29">
        <f t="shared" si="18"/>
        <v>53.104279686558172</v>
      </c>
      <c r="G353" s="29">
        <f t="shared" si="19"/>
        <v>2.9736420534458508</v>
      </c>
      <c r="H353" s="29">
        <f t="shared" si="17"/>
        <v>0.99539999999999995</v>
      </c>
      <c r="I353" s="30">
        <f t="shared" si="20"/>
        <v>0.40494634259999995</v>
      </c>
      <c r="J353" s="29">
        <f t="shared" si="21"/>
        <v>2.9618260531759595</v>
      </c>
      <c r="K353" s="29">
        <f t="shared" si="22"/>
        <v>0.29618260531759594</v>
      </c>
    </row>
    <row r="354" spans="1:11" s="29" customFormat="1" x14ac:dyDescent="0.25">
      <c r="A354" s="29" t="s">
        <v>203</v>
      </c>
      <c r="B354" s="29">
        <v>47.66</v>
      </c>
      <c r="C354" s="29">
        <v>51.84</v>
      </c>
      <c r="D354" s="29">
        <v>0.5</v>
      </c>
      <c r="E354" s="29">
        <f t="shared" si="23"/>
        <v>47.899497487437181</v>
      </c>
      <c r="F354" s="29">
        <f t="shared" si="18"/>
        <v>52.100502512562819</v>
      </c>
      <c r="G354" s="29">
        <f t="shared" si="19"/>
        <v>2.9752022110552763</v>
      </c>
      <c r="H354" s="29">
        <f t="shared" si="17"/>
        <v>0.995</v>
      </c>
      <c r="I354" s="30">
        <f t="shared" si="20"/>
        <v>0.40494634259999995</v>
      </c>
      <c r="J354" s="29">
        <f t="shared" si="21"/>
        <v>2.9623509317129999</v>
      </c>
      <c r="K354" s="29">
        <f t="shared" si="22"/>
        <v>0.29623509317129998</v>
      </c>
    </row>
    <row r="355" spans="1:11" s="29" customFormat="1" x14ac:dyDescent="0.25">
      <c r="A355" s="29" t="s">
        <v>204</v>
      </c>
      <c r="B355" s="29">
        <v>41.38</v>
      </c>
      <c r="C355" s="29">
        <v>58.57</v>
      </c>
      <c r="D355" s="29">
        <v>0.05</v>
      </c>
      <c r="E355" s="29">
        <f t="shared" si="23"/>
        <v>41.400700350175086</v>
      </c>
      <c r="F355" s="29">
        <f t="shared" si="18"/>
        <v>58.599299649824907</v>
      </c>
      <c r="G355" s="29">
        <f t="shared" si="19"/>
        <v>2.9649990995497748</v>
      </c>
      <c r="H355" s="29">
        <f t="shared" si="17"/>
        <v>0.99950000000000006</v>
      </c>
      <c r="I355" s="30">
        <f t="shared" si="20"/>
        <v>0.40494634259999995</v>
      </c>
      <c r="J355" s="29">
        <f t="shared" si="21"/>
        <v>2.9637190731713003</v>
      </c>
      <c r="K355" s="29">
        <f t="shared" si="22"/>
        <v>0.29637190731713003</v>
      </c>
    </row>
    <row r="356" spans="1:11" s="29" customFormat="1" x14ac:dyDescent="0.25">
      <c r="A356" s="29" t="s">
        <v>205</v>
      </c>
      <c r="B356" s="29">
        <v>41.02</v>
      </c>
      <c r="C356" s="29">
        <v>58.78</v>
      </c>
      <c r="D356" s="29">
        <v>0.2</v>
      </c>
      <c r="E356" s="29">
        <f t="shared" si="23"/>
        <v>41.102204408817641</v>
      </c>
      <c r="F356" s="29">
        <f t="shared" si="18"/>
        <v>58.897795591182366</v>
      </c>
      <c r="G356" s="29">
        <f t="shared" si="19"/>
        <v>2.9645304609218437</v>
      </c>
      <c r="H356" s="29">
        <f t="shared" si="17"/>
        <v>0.998</v>
      </c>
      <c r="I356" s="30">
        <f t="shared" si="20"/>
        <v>0.40494634259999995</v>
      </c>
      <c r="J356" s="29">
        <f t="shared" si="21"/>
        <v>2.9594112926851999</v>
      </c>
      <c r="K356" s="29">
        <f t="shared" si="22"/>
        <v>0.29594112926852001</v>
      </c>
    </row>
    <row r="357" spans="1:11" s="29" customFormat="1" x14ac:dyDescent="0.25">
      <c r="A357" s="29" t="s">
        <v>206</v>
      </c>
      <c r="B357" s="29">
        <v>41</v>
      </c>
      <c r="C357" s="29">
        <v>58.51</v>
      </c>
      <c r="D357" s="29">
        <v>0.49</v>
      </c>
      <c r="E357" s="29">
        <f t="shared" si="23"/>
        <v>41.201889257361067</v>
      </c>
      <c r="F357" s="29">
        <f t="shared" si="18"/>
        <v>58.798110742638933</v>
      </c>
      <c r="G357" s="29">
        <f t="shared" si="19"/>
        <v>2.9646869661340567</v>
      </c>
      <c r="H357" s="29">
        <f t="shared" si="17"/>
        <v>0.99509999999999998</v>
      </c>
      <c r="I357" s="30">
        <f t="shared" si="20"/>
        <v>0.40494634259999995</v>
      </c>
      <c r="J357" s="29">
        <f t="shared" si="21"/>
        <v>2.9521442370787399</v>
      </c>
      <c r="K357" s="29">
        <f t="shared" si="22"/>
        <v>0.29521442370787399</v>
      </c>
    </row>
    <row r="358" spans="1:11" s="29" customFormat="1" x14ac:dyDescent="0.25">
      <c r="A358" s="29" t="s">
        <v>207</v>
      </c>
      <c r="B358" s="29">
        <v>40.21</v>
      </c>
      <c r="C358" s="29">
        <v>57.86</v>
      </c>
      <c r="D358" s="29">
        <v>1.93</v>
      </c>
      <c r="E358" s="29">
        <f t="shared" si="23"/>
        <v>41.0013255837667</v>
      </c>
      <c r="F358" s="29">
        <f t="shared" si="18"/>
        <v>58.9986744162333</v>
      </c>
      <c r="G358" s="29">
        <f t="shared" si="19"/>
        <v>2.9643720811665135</v>
      </c>
      <c r="H358" s="29">
        <f t="shared" si="17"/>
        <v>0.98070000000000002</v>
      </c>
      <c r="I358" s="30">
        <f t="shared" si="20"/>
        <v>0.40494634259999995</v>
      </c>
      <c r="J358" s="29">
        <f t="shared" si="21"/>
        <v>2.91497516441218</v>
      </c>
      <c r="K358" s="29">
        <f t="shared" si="22"/>
        <v>0.29149751644121802</v>
      </c>
    </row>
    <row r="359" spans="1:11" s="29" customFormat="1" x14ac:dyDescent="0.25">
      <c r="A359" s="29" t="s">
        <v>208</v>
      </c>
      <c r="B359" s="29">
        <v>45.8</v>
      </c>
      <c r="C359" s="29">
        <v>53.98</v>
      </c>
      <c r="D359" s="29">
        <v>0.22</v>
      </c>
      <c r="E359" s="29">
        <f t="shared" si="23"/>
        <v>45.900982160753657</v>
      </c>
      <c r="F359" s="29">
        <f t="shared" si="18"/>
        <v>54.099017839246336</v>
      </c>
      <c r="G359" s="29">
        <f t="shared" si="19"/>
        <v>2.972064541992383</v>
      </c>
      <c r="H359" s="29">
        <f t="shared" si="17"/>
        <v>0.99780000000000002</v>
      </c>
      <c r="I359" s="30">
        <f t="shared" si="20"/>
        <v>0.40494634259999995</v>
      </c>
      <c r="J359" s="29">
        <f t="shared" si="21"/>
        <v>2.9664168819537196</v>
      </c>
      <c r="K359" s="29">
        <f t="shared" si="22"/>
        <v>0.29664168819537196</v>
      </c>
    </row>
    <row r="360" spans="1:11" s="29" customFormat="1" x14ac:dyDescent="0.25">
      <c r="A360" s="29" t="s">
        <v>193</v>
      </c>
      <c r="B360" s="29">
        <v>45.75</v>
      </c>
      <c r="C360" s="29">
        <v>53.7</v>
      </c>
      <c r="D360" s="29">
        <v>0.55000000000000004</v>
      </c>
      <c r="E360" s="29">
        <f t="shared" si="23"/>
        <v>46.003016591251885</v>
      </c>
      <c r="F360" s="29">
        <f t="shared" si="18"/>
        <v>53.996983408748115</v>
      </c>
      <c r="G360" s="29">
        <f t="shared" si="19"/>
        <v>2.9722247360482652</v>
      </c>
      <c r="H360" s="29">
        <f t="shared" si="17"/>
        <v>0.99450000000000005</v>
      </c>
      <c r="I360" s="30">
        <f t="shared" si="20"/>
        <v>0.40494634259999995</v>
      </c>
      <c r="J360" s="29">
        <f t="shared" si="21"/>
        <v>2.9581047048842999</v>
      </c>
      <c r="K360" s="29">
        <f t="shared" si="22"/>
        <v>0.29581047048843001</v>
      </c>
    </row>
    <row r="361" spans="1:11" s="29" customFormat="1" x14ac:dyDescent="0.25">
      <c r="A361" s="29" t="s">
        <v>209</v>
      </c>
      <c r="B361" s="29">
        <v>45.25</v>
      </c>
      <c r="C361" s="29">
        <v>53.77</v>
      </c>
      <c r="D361" s="29">
        <v>0.98</v>
      </c>
      <c r="E361" s="29">
        <f t="shared" si="23"/>
        <v>45.697838820440317</v>
      </c>
      <c r="F361" s="29">
        <f t="shared" si="18"/>
        <v>54.30216117955969</v>
      </c>
      <c r="G361" s="29">
        <f t="shared" si="19"/>
        <v>2.9717456069480912</v>
      </c>
      <c r="H361" s="29">
        <f t="shared" si="17"/>
        <v>0.99019999999999997</v>
      </c>
      <c r="I361" s="30">
        <f t="shared" si="20"/>
        <v>0.40494634259999995</v>
      </c>
      <c r="J361" s="29">
        <f t="shared" si="21"/>
        <v>2.9465909741574796</v>
      </c>
      <c r="K361" s="29">
        <f t="shared" si="22"/>
        <v>0.29465909741574797</v>
      </c>
    </row>
    <row r="362" spans="1:11" s="29" customFormat="1" x14ac:dyDescent="0.25">
      <c r="A362" s="29" t="s">
        <v>210</v>
      </c>
      <c r="B362" s="29">
        <v>44.77</v>
      </c>
      <c r="C362" s="29">
        <v>53.2</v>
      </c>
      <c r="D362" s="29">
        <v>2.0299999999999998</v>
      </c>
      <c r="E362" s="29">
        <f t="shared" si="23"/>
        <v>45.697662549760132</v>
      </c>
      <c r="F362" s="29">
        <f t="shared" si="18"/>
        <v>54.302337450239868</v>
      </c>
      <c r="G362" s="29">
        <f t="shared" si="19"/>
        <v>2.9717453302031234</v>
      </c>
      <c r="H362" s="29">
        <f t="shared" si="17"/>
        <v>0.97970000000000002</v>
      </c>
      <c r="I362" s="30">
        <f t="shared" si="20"/>
        <v>0.40494634259999995</v>
      </c>
      <c r="J362" s="29">
        <f t="shared" si="21"/>
        <v>2.9196393107547802</v>
      </c>
      <c r="K362" s="29">
        <f t="shared" si="22"/>
        <v>0.29196393107547802</v>
      </c>
    </row>
    <row r="363" spans="1:11" s="29" customFormat="1" x14ac:dyDescent="0.25">
      <c r="A363" s="29" t="s">
        <v>211</v>
      </c>
      <c r="B363" s="29">
        <v>48.39</v>
      </c>
      <c r="C363" s="29">
        <v>48.58</v>
      </c>
      <c r="D363" s="29">
        <v>3.03</v>
      </c>
      <c r="E363" s="29">
        <f t="shared" si="23"/>
        <v>49.902031556151385</v>
      </c>
      <c r="F363" s="29">
        <f t="shared" si="18"/>
        <v>50.097968443848607</v>
      </c>
      <c r="G363" s="29">
        <f t="shared" si="19"/>
        <v>2.9783461895431578</v>
      </c>
      <c r="H363" s="29">
        <f t="shared" si="17"/>
        <v>0.96970000000000001</v>
      </c>
      <c r="I363" s="30">
        <f t="shared" si="20"/>
        <v>0.40494634259999995</v>
      </c>
      <c r="J363" s="29">
        <f t="shared" si="21"/>
        <v>2.90037217418078</v>
      </c>
      <c r="K363" s="29">
        <f t="shared" si="22"/>
        <v>0.29003721741807797</v>
      </c>
    </row>
    <row r="364" spans="1:11" s="29" customFormat="1" x14ac:dyDescent="0.25">
      <c r="A364" s="29" t="s">
        <v>212</v>
      </c>
      <c r="B364" s="29">
        <v>49.88</v>
      </c>
      <c r="C364" s="29">
        <v>50.07</v>
      </c>
      <c r="D364" s="29">
        <v>0.05</v>
      </c>
      <c r="E364" s="29">
        <f t="shared" si="23"/>
        <v>49.904952476238115</v>
      </c>
      <c r="F364" s="29">
        <f t="shared" si="18"/>
        <v>50.095047523761878</v>
      </c>
      <c r="G364" s="29">
        <f t="shared" si="19"/>
        <v>2.9783507753876939</v>
      </c>
      <c r="H364" s="29">
        <f t="shared" si="17"/>
        <v>0.99950000000000006</v>
      </c>
      <c r="I364" s="30">
        <f t="shared" si="20"/>
        <v>0.40494634259999995</v>
      </c>
      <c r="J364" s="29">
        <f t="shared" si="21"/>
        <v>2.9770640731713005</v>
      </c>
      <c r="K364" s="29">
        <f t="shared" si="22"/>
        <v>0.29770640731713005</v>
      </c>
    </row>
    <row r="365" spans="1:11" s="29" customFormat="1" x14ac:dyDescent="0.25">
      <c r="A365" s="29" t="s">
        <v>213</v>
      </c>
      <c r="B365" s="29">
        <v>49.36</v>
      </c>
      <c r="C365" s="29">
        <v>50.15</v>
      </c>
      <c r="D365" s="29">
        <v>0.49</v>
      </c>
      <c r="E365" s="29">
        <f t="shared" si="23"/>
        <v>49.603054969349813</v>
      </c>
      <c r="F365" s="29">
        <f t="shared" si="18"/>
        <v>50.396945030650187</v>
      </c>
      <c r="G365" s="29">
        <f t="shared" si="19"/>
        <v>2.9778767963018793</v>
      </c>
      <c r="H365" s="29">
        <f t="shared" si="17"/>
        <v>0.99509999999999998</v>
      </c>
      <c r="I365" s="30">
        <f t="shared" si="20"/>
        <v>0.40494634259999995</v>
      </c>
      <c r="J365" s="29">
        <f t="shared" si="21"/>
        <v>2.96526943707874</v>
      </c>
      <c r="K365" s="29">
        <f t="shared" si="22"/>
        <v>0.29652694370787402</v>
      </c>
    </row>
    <row r="366" spans="1:11" s="29" customFormat="1" x14ac:dyDescent="0.25">
      <c r="A366" s="29" t="s">
        <v>214</v>
      </c>
      <c r="B366" s="29">
        <v>49.19</v>
      </c>
      <c r="C366" s="29">
        <v>49.78</v>
      </c>
      <c r="D366" s="29">
        <v>1.03</v>
      </c>
      <c r="E366" s="29">
        <f t="shared" si="23"/>
        <v>49.701929877740724</v>
      </c>
      <c r="F366" s="29">
        <f t="shared" si="18"/>
        <v>50.298070122259269</v>
      </c>
      <c r="G366" s="29">
        <f t="shared" si="19"/>
        <v>2.9780320299080527</v>
      </c>
      <c r="H366" s="29">
        <f t="shared" si="17"/>
        <v>0.98970000000000002</v>
      </c>
      <c r="I366" s="30">
        <f t="shared" si="20"/>
        <v>0.40494634259999995</v>
      </c>
      <c r="J366" s="29">
        <f t="shared" si="21"/>
        <v>2.95152924732878</v>
      </c>
      <c r="K366" s="29">
        <f t="shared" si="22"/>
        <v>0.29515292473287802</v>
      </c>
    </row>
    <row r="367" spans="1:11" s="29" customFormat="1" x14ac:dyDescent="0.25">
      <c r="A367" s="29" t="s">
        <v>215</v>
      </c>
      <c r="B367" s="29">
        <v>48.55</v>
      </c>
      <c r="C367" s="29">
        <v>49.53</v>
      </c>
      <c r="D367" s="29">
        <v>1.92</v>
      </c>
      <c r="E367" s="29">
        <f t="shared" si="23"/>
        <v>49.500407830342574</v>
      </c>
      <c r="F367" s="29">
        <f t="shared" si="18"/>
        <v>50.499592169657426</v>
      </c>
      <c r="G367" s="29">
        <f t="shared" si="19"/>
        <v>2.9777156402936376</v>
      </c>
      <c r="H367" s="29">
        <f t="shared" si="17"/>
        <v>0.98080000000000001</v>
      </c>
      <c r="I367" s="30">
        <f t="shared" si="20"/>
        <v>0.40494634259999995</v>
      </c>
      <c r="J367" s="29">
        <f t="shared" si="21"/>
        <v>2.9283184697779197</v>
      </c>
      <c r="K367" s="29">
        <f t="shared" si="22"/>
        <v>0.29283184697779197</v>
      </c>
    </row>
    <row r="368" spans="1:11" s="19" customFormat="1" x14ac:dyDescent="0.25">
      <c r="A368" s="31" t="s">
        <v>216</v>
      </c>
      <c r="B368" s="19">
        <v>48.08</v>
      </c>
      <c r="C368" s="19">
        <v>48.08</v>
      </c>
      <c r="D368" s="19">
        <v>3.84</v>
      </c>
      <c r="E368" s="29">
        <f t="shared" si="23"/>
        <v>50</v>
      </c>
      <c r="F368" s="29">
        <f t="shared" si="18"/>
        <v>50</v>
      </c>
      <c r="G368" s="29">
        <f t="shared" si="19"/>
        <v>2.9784999999999999</v>
      </c>
      <c r="H368" s="19">
        <f t="shared" si="17"/>
        <v>0.96160000000000001</v>
      </c>
      <c r="I368" s="32">
        <f t="shared" si="20"/>
        <v>0.40494634259999995</v>
      </c>
      <c r="J368" s="29">
        <f t="shared" si="21"/>
        <v>2.8796755395558398</v>
      </c>
      <c r="K368" s="29">
        <f t="shared" si="22"/>
        <v>0.28796755395558399</v>
      </c>
    </row>
    <row r="369" spans="1:13" s="19" customFormat="1" x14ac:dyDescent="0.25">
      <c r="A369" s="29" t="s">
        <v>194</v>
      </c>
      <c r="B369" s="19">
        <v>44.5</v>
      </c>
      <c r="C369" s="19">
        <v>55</v>
      </c>
      <c r="D369" s="19">
        <v>0.5</v>
      </c>
      <c r="E369" s="29">
        <f t="shared" si="23"/>
        <v>44.723618090452263</v>
      </c>
      <c r="F369" s="29">
        <f t="shared" si="18"/>
        <v>55.276381909547737</v>
      </c>
      <c r="G369" s="29">
        <f t="shared" si="19"/>
        <v>2.9702160804020101</v>
      </c>
      <c r="H369" s="19">
        <f t="shared" si="17"/>
        <v>0.995</v>
      </c>
      <c r="I369" s="32">
        <f t="shared" si="20"/>
        <v>0.40494634259999995</v>
      </c>
      <c r="J369" s="29">
        <f t="shared" si="21"/>
        <v>2.957389731713</v>
      </c>
      <c r="K369" s="29">
        <f t="shared" si="22"/>
        <v>0.29573897317129999</v>
      </c>
    </row>
    <row r="370" spans="1:13" s="19" customFormat="1" x14ac:dyDescent="0.25">
      <c r="A370" s="29" t="s">
        <v>195</v>
      </c>
      <c r="B370" s="19">
        <v>46.69</v>
      </c>
      <c r="C370" s="19">
        <v>52.86</v>
      </c>
      <c r="D370" s="19">
        <v>0.46</v>
      </c>
      <c r="E370" s="29">
        <f t="shared" si="23"/>
        <v>46.90576652601969</v>
      </c>
      <c r="F370" s="29">
        <f t="shared" si="18"/>
        <v>53.104279686558172</v>
      </c>
      <c r="G370" s="29">
        <f t="shared" si="19"/>
        <v>2.9736420534458508</v>
      </c>
      <c r="H370" s="19">
        <f t="shared" si="17"/>
        <v>0.99539999999999995</v>
      </c>
      <c r="I370" s="32">
        <f t="shared" si="20"/>
        <v>0.40494634259999995</v>
      </c>
      <c r="J370" s="29">
        <f t="shared" si="21"/>
        <v>2.9618260531759595</v>
      </c>
      <c r="K370" s="29">
        <f t="shared" si="22"/>
        <v>0.29618260531759594</v>
      </c>
    </row>
    <row r="371" spans="1:13" s="19" customFormat="1" x14ac:dyDescent="0.25">
      <c r="A371" s="19" t="s">
        <v>203</v>
      </c>
      <c r="B371" s="19">
        <v>47.66</v>
      </c>
      <c r="C371" s="19">
        <v>51.84</v>
      </c>
      <c r="D371" s="19">
        <v>0.5</v>
      </c>
      <c r="E371" s="29">
        <f t="shared" si="23"/>
        <v>47.899497487437181</v>
      </c>
      <c r="F371" s="29">
        <f t="shared" si="18"/>
        <v>52.100502512562819</v>
      </c>
      <c r="G371" s="29">
        <f t="shared" si="19"/>
        <v>2.9752022110552763</v>
      </c>
      <c r="H371" s="19">
        <f t="shared" si="17"/>
        <v>0.995</v>
      </c>
      <c r="I371" s="32">
        <f t="shared" si="20"/>
        <v>0.40494634259999995</v>
      </c>
      <c r="J371" s="29">
        <f t="shared" si="21"/>
        <v>2.9623509317129999</v>
      </c>
      <c r="K371" s="29">
        <f t="shared" si="22"/>
        <v>0.29623509317129998</v>
      </c>
    </row>
    <row r="372" spans="1:13" s="19" customFormat="1" x14ac:dyDescent="0.25">
      <c r="A372" s="19" t="s">
        <v>217</v>
      </c>
      <c r="B372" s="19">
        <v>40.57</v>
      </c>
      <c r="C372" s="19">
        <v>57.18</v>
      </c>
      <c r="D372" s="19">
        <v>2.25</v>
      </c>
      <c r="E372" s="29">
        <f t="shared" si="23"/>
        <v>41.503836317135551</v>
      </c>
      <c r="F372" s="29">
        <f t="shared" si="18"/>
        <v>58.496163682864449</v>
      </c>
      <c r="G372" s="29">
        <f t="shared" si="19"/>
        <v>2.9651610230179029</v>
      </c>
      <c r="H372" s="19">
        <f t="shared" si="17"/>
        <v>0.97750000000000004</v>
      </c>
      <c r="I372" s="32">
        <f t="shared" si="20"/>
        <v>0.40494634259999995</v>
      </c>
      <c r="J372" s="29">
        <f t="shared" si="21"/>
        <v>2.9075561927085003</v>
      </c>
      <c r="K372" s="29">
        <f t="shared" si="22"/>
        <v>0.29075561927085003</v>
      </c>
    </row>
    <row r="373" spans="1:13" s="19" customFormat="1" x14ac:dyDescent="0.25">
      <c r="A373" s="19" t="s">
        <v>218</v>
      </c>
      <c r="B373" s="19">
        <v>44.74</v>
      </c>
      <c r="C373" s="19">
        <v>52.1</v>
      </c>
      <c r="D373" s="19">
        <v>3.16</v>
      </c>
      <c r="E373" s="29">
        <f t="shared" si="23"/>
        <v>46.199917389508471</v>
      </c>
      <c r="F373" s="29">
        <f t="shared" si="18"/>
        <v>53.800082610491529</v>
      </c>
      <c r="G373" s="29">
        <f t="shared" si="19"/>
        <v>2.972533870301528</v>
      </c>
      <c r="H373" s="19">
        <f t="shared" si="17"/>
        <v>0.96840000000000004</v>
      </c>
      <c r="I373" s="32">
        <f t="shared" si="20"/>
        <v>0.40494634259999995</v>
      </c>
      <c r="J373" s="29">
        <f t="shared" si="21"/>
        <v>2.8913981044261599</v>
      </c>
      <c r="K373" s="29">
        <f t="shared" si="22"/>
        <v>0.289139810442616</v>
      </c>
    </row>
    <row r="374" spans="1:13" s="19" customFormat="1" x14ac:dyDescent="0.25">
      <c r="A374" s="19" t="s">
        <v>219</v>
      </c>
      <c r="B374" s="19">
        <v>48.25</v>
      </c>
      <c r="C374" s="19">
        <v>47.67</v>
      </c>
      <c r="D374" s="19">
        <v>4.08</v>
      </c>
      <c r="E374" s="29">
        <f t="shared" si="23"/>
        <v>50.3023352793995</v>
      </c>
      <c r="F374" s="29">
        <f t="shared" si="18"/>
        <v>49.6976647206005</v>
      </c>
      <c r="G374" s="29">
        <f t="shared" si="19"/>
        <v>2.9789746663886572</v>
      </c>
      <c r="H374" s="19">
        <f t="shared" si="17"/>
        <v>0.95920000000000005</v>
      </c>
      <c r="I374" s="32">
        <f t="shared" si="20"/>
        <v>0.40494634259999995</v>
      </c>
      <c r="J374" s="29">
        <f t="shared" si="21"/>
        <v>2.8739543107780801</v>
      </c>
      <c r="K374" s="29">
        <f t="shared" si="22"/>
        <v>0.28739543107780802</v>
      </c>
    </row>
    <row r="375" spans="1:13" s="19" customFormat="1" x14ac:dyDescent="0.25">
      <c r="A375" s="19" t="s">
        <v>220</v>
      </c>
      <c r="B375" s="19">
        <v>38.89</v>
      </c>
      <c r="C375" s="19">
        <v>60.58</v>
      </c>
      <c r="D375" s="19">
        <v>0.53</v>
      </c>
      <c r="E375" s="29">
        <f t="shared" si="23"/>
        <v>39.097215240776116</v>
      </c>
      <c r="F375" s="29">
        <f t="shared" si="18"/>
        <v>60.902784759223884</v>
      </c>
      <c r="G375" s="29">
        <f t="shared" si="19"/>
        <v>2.9613826279280184</v>
      </c>
      <c r="H375" s="19">
        <f t="shared" si="17"/>
        <v>0.99470000000000003</v>
      </c>
      <c r="I375" s="32">
        <f t="shared" si="20"/>
        <v>0.40494634259999995</v>
      </c>
      <c r="J375" s="29">
        <f t="shared" si="21"/>
        <v>2.94783351561578</v>
      </c>
      <c r="K375" s="29">
        <f t="shared" si="22"/>
        <v>0.29478335156157798</v>
      </c>
    </row>
    <row r="376" spans="1:13" s="19" customFormat="1" x14ac:dyDescent="0.25">
      <c r="A376" s="19" t="s">
        <v>221</v>
      </c>
      <c r="B376" s="19">
        <v>51.65</v>
      </c>
      <c r="C376" s="19">
        <v>47.86</v>
      </c>
      <c r="D376" s="19">
        <v>0.49</v>
      </c>
      <c r="E376" s="29">
        <f t="shared" si="23"/>
        <v>51.90433122299266</v>
      </c>
      <c r="F376" s="29">
        <f t="shared" si="18"/>
        <v>48.095668777007333</v>
      </c>
      <c r="G376" s="29">
        <f t="shared" si="19"/>
        <v>2.9814898000200984</v>
      </c>
      <c r="H376" s="19">
        <f t="shared" si="17"/>
        <v>0.99509999999999998</v>
      </c>
      <c r="I376" s="32">
        <f t="shared" si="20"/>
        <v>0.40494634259999995</v>
      </c>
      <c r="J376" s="29">
        <f t="shared" si="21"/>
        <v>2.9688647370787398</v>
      </c>
      <c r="K376" s="29">
        <f t="shared" si="22"/>
        <v>0.29688647370787397</v>
      </c>
    </row>
    <row r="377" spans="1:13" s="19" customFormat="1" x14ac:dyDescent="0.25">
      <c r="A377" s="19" t="s">
        <v>222</v>
      </c>
      <c r="B377" s="19">
        <v>38.619999999999997</v>
      </c>
      <c r="C377" s="19">
        <v>59.41</v>
      </c>
      <c r="D377" s="19">
        <v>1.97</v>
      </c>
      <c r="E377" s="29">
        <f t="shared" si="23"/>
        <v>39.396103233703968</v>
      </c>
      <c r="F377" s="29">
        <f t="shared" si="18"/>
        <v>60.603896766296032</v>
      </c>
      <c r="G377" s="29">
        <f t="shared" si="19"/>
        <v>2.9618518820769153</v>
      </c>
      <c r="H377" s="19">
        <f t="shared" si="17"/>
        <v>0.98029999999999995</v>
      </c>
      <c r="I377" s="32">
        <f t="shared" si="20"/>
        <v>0.40494634259999995</v>
      </c>
      <c r="J377" s="29">
        <f t="shared" si="21"/>
        <v>2.9114808429492198</v>
      </c>
      <c r="K377" s="29">
        <f t="shared" si="22"/>
        <v>0.291148084294922</v>
      </c>
    </row>
    <row r="378" spans="1:13" s="19" customFormat="1" x14ac:dyDescent="0.25">
      <c r="A378" s="19" t="s">
        <v>223</v>
      </c>
      <c r="B378" s="19">
        <v>51.27</v>
      </c>
      <c r="C378" s="19">
        <v>46.58</v>
      </c>
      <c r="D378" s="19">
        <v>2.15</v>
      </c>
      <c r="E378" s="29">
        <f t="shared" si="23"/>
        <v>52.396525293817071</v>
      </c>
      <c r="F378" s="29">
        <f t="shared" si="18"/>
        <v>47.603474706182929</v>
      </c>
      <c r="G378" s="29">
        <f t="shared" si="19"/>
        <v>2.9822625447112925</v>
      </c>
      <c r="H378" s="19">
        <f t="shared" si="17"/>
        <v>0.97850000000000004</v>
      </c>
      <c r="I378" s="32">
        <f t="shared" si="20"/>
        <v>0.40494634259999995</v>
      </c>
      <c r="J378" s="29">
        <f>H378*G378+D378*I378/100</f>
        <v>2.9268502463659001</v>
      </c>
      <c r="K378" s="29">
        <f t="shared" si="22"/>
        <v>0.29268502463659002</v>
      </c>
    </row>
    <row r="379" spans="1:13" s="29" customFormat="1" x14ac:dyDescent="0.25">
      <c r="A379" s="31" t="s">
        <v>243</v>
      </c>
      <c r="B379" s="31">
        <v>45</v>
      </c>
      <c r="C379" s="31">
        <v>54.8</v>
      </c>
      <c r="D379" s="31">
        <v>0.2</v>
      </c>
      <c r="E379" s="29">
        <f>B379/(1-D379/100)</f>
        <v>45.09018036072144</v>
      </c>
      <c r="F379" s="29">
        <f>C379/(1-D379/100)</f>
        <v>54.909819639278552</v>
      </c>
      <c r="G379" s="29">
        <f>(1.57*0.001)*E379 + 2.9</f>
        <v>2.9707915831663327</v>
      </c>
      <c r="H379" s="31">
        <f t="shared" ref="H379:H391" si="24">1-D379/100</f>
        <v>0.998</v>
      </c>
      <c r="I379" s="33">
        <f t="shared" ref="I379:I391" si="25">4.0413/10*1.00202</f>
        <v>0.40494634259999995</v>
      </c>
      <c r="J379" s="29">
        <f>H379*G379+D379*I379/100</f>
        <v>2.9656598926852</v>
      </c>
      <c r="K379" s="29">
        <f>J379/10</f>
        <v>0.29656598926852001</v>
      </c>
      <c r="L379" s="31"/>
      <c r="M379" s="31"/>
    </row>
    <row r="380" spans="1:13" s="29" customFormat="1" x14ac:dyDescent="0.25">
      <c r="A380" s="31" t="s">
        <v>246</v>
      </c>
      <c r="B380" s="31">
        <v>45</v>
      </c>
      <c r="C380" s="31">
        <v>54.2</v>
      </c>
      <c r="D380" s="31">
        <v>0.8</v>
      </c>
      <c r="E380" s="29">
        <f t="shared" ref="E380:E391" si="26">B380/(1-D380/100)</f>
        <v>45.362903225806448</v>
      </c>
      <c r="F380" s="29">
        <f t="shared" ref="F380:F391" si="27">C380/(1-D380/100)</f>
        <v>54.637096774193552</v>
      </c>
      <c r="G380" s="29">
        <f t="shared" ref="G380:G391" si="28">(1.57*0.001)*E380 + 2.9</f>
        <v>2.9712197580645161</v>
      </c>
      <c r="H380" s="31">
        <f t="shared" si="24"/>
        <v>0.99199999999999999</v>
      </c>
      <c r="I380" s="33">
        <f t="shared" si="25"/>
        <v>0.40494634259999995</v>
      </c>
      <c r="J380" s="29">
        <f t="shared" ref="J380:J390" si="29">H380*G380+D380*I380/100</f>
        <v>2.9506895707408001</v>
      </c>
      <c r="K380" s="29">
        <f t="shared" ref="K380:K391" si="30">J380/10</f>
        <v>0.29506895707407998</v>
      </c>
      <c r="L380" s="31"/>
      <c r="M380" s="31"/>
    </row>
    <row r="381" spans="1:13" s="29" customFormat="1" x14ac:dyDescent="0.25">
      <c r="A381" s="31" t="s">
        <v>249</v>
      </c>
      <c r="B381" s="31">
        <v>45</v>
      </c>
      <c r="C381" s="31">
        <v>53</v>
      </c>
      <c r="D381" s="31">
        <v>2</v>
      </c>
      <c r="E381" s="29">
        <f t="shared" si="26"/>
        <v>45.91836734693878</v>
      </c>
      <c r="F381" s="29">
        <f t="shared" si="27"/>
        <v>54.081632653061227</v>
      </c>
      <c r="G381" s="29">
        <f t="shared" si="28"/>
        <v>2.9720918367346938</v>
      </c>
      <c r="H381" s="31">
        <f t="shared" si="24"/>
        <v>0.98</v>
      </c>
      <c r="I381" s="33">
        <f t="shared" si="25"/>
        <v>0.40494634259999995</v>
      </c>
      <c r="J381" s="29">
        <f t="shared" si="29"/>
        <v>2.9207489268519997</v>
      </c>
      <c r="K381" s="29">
        <f t="shared" si="30"/>
        <v>0.29207489268519998</v>
      </c>
      <c r="L381" s="31"/>
      <c r="M381" s="31"/>
    </row>
    <row r="382" spans="1:13" s="29" customFormat="1" x14ac:dyDescent="0.25">
      <c r="A382" s="31" t="s">
        <v>252</v>
      </c>
      <c r="B382" s="31">
        <v>41</v>
      </c>
      <c r="C382" s="31">
        <v>58.8</v>
      </c>
      <c r="D382" s="31">
        <v>0.2</v>
      </c>
      <c r="E382" s="29">
        <f t="shared" si="26"/>
        <v>41.082164328657313</v>
      </c>
      <c r="F382" s="29">
        <f t="shared" si="27"/>
        <v>58.917835671342679</v>
      </c>
      <c r="G382" s="29">
        <f t="shared" si="28"/>
        <v>2.9644989979959919</v>
      </c>
      <c r="H382" s="31">
        <f t="shared" si="24"/>
        <v>0.998</v>
      </c>
      <c r="I382" s="33">
        <f t="shared" si="25"/>
        <v>0.40494634259999995</v>
      </c>
      <c r="J382" s="29">
        <f t="shared" si="29"/>
        <v>2.9593798926851997</v>
      </c>
      <c r="K382" s="29">
        <f t="shared" si="30"/>
        <v>0.29593798926852</v>
      </c>
      <c r="L382" s="31"/>
      <c r="M382" s="31"/>
    </row>
    <row r="383" spans="1:13" s="29" customFormat="1" x14ac:dyDescent="0.25">
      <c r="A383" s="31" t="s">
        <v>253</v>
      </c>
      <c r="B383" s="31">
        <v>50</v>
      </c>
      <c r="C383" s="31">
        <v>49.8</v>
      </c>
      <c r="D383" s="31">
        <v>0.2</v>
      </c>
      <c r="E383" s="29">
        <f t="shared" si="26"/>
        <v>50.100200400801604</v>
      </c>
      <c r="F383" s="29">
        <f t="shared" si="27"/>
        <v>49.899799599198396</v>
      </c>
      <c r="G383" s="29">
        <f t="shared" si="28"/>
        <v>2.9786573146292583</v>
      </c>
      <c r="H383" s="31">
        <f t="shared" si="24"/>
        <v>0.998</v>
      </c>
      <c r="I383" s="33">
        <f t="shared" si="25"/>
        <v>0.40494634259999995</v>
      </c>
      <c r="J383" s="29">
        <f t="shared" si="29"/>
        <v>2.9735098926851995</v>
      </c>
      <c r="K383" s="29">
        <f t="shared" si="30"/>
        <v>0.29735098926851994</v>
      </c>
      <c r="L383" s="31"/>
      <c r="M383" s="31"/>
    </row>
    <row r="384" spans="1:13" s="29" customFormat="1" x14ac:dyDescent="0.25">
      <c r="A384" s="31" t="s">
        <v>254</v>
      </c>
      <c r="B384" s="31">
        <v>41</v>
      </c>
      <c r="C384" s="31">
        <v>58.2</v>
      </c>
      <c r="D384" s="31">
        <v>0.8</v>
      </c>
      <c r="E384" s="29">
        <f t="shared" si="26"/>
        <v>41.33064516129032</v>
      </c>
      <c r="F384" s="29">
        <f t="shared" si="27"/>
        <v>58.66935483870968</v>
      </c>
      <c r="G384" s="29">
        <f t="shared" si="28"/>
        <v>2.9648891129032258</v>
      </c>
      <c r="H384" s="31">
        <f t="shared" si="24"/>
        <v>0.99199999999999999</v>
      </c>
      <c r="I384" s="33">
        <f t="shared" si="25"/>
        <v>0.40494634259999995</v>
      </c>
      <c r="J384" s="29">
        <f t="shared" si="29"/>
        <v>2.9444095707408002</v>
      </c>
      <c r="K384" s="29">
        <f t="shared" si="30"/>
        <v>0.29444095707408002</v>
      </c>
      <c r="L384" s="31"/>
      <c r="M384" s="31"/>
    </row>
    <row r="385" spans="1:13" s="29" customFormat="1" x14ac:dyDescent="0.25">
      <c r="A385" s="31" t="s">
        <v>255</v>
      </c>
      <c r="B385" s="31">
        <v>43</v>
      </c>
      <c r="C385" s="31">
        <v>56.2</v>
      </c>
      <c r="D385" s="31">
        <v>0.8</v>
      </c>
      <c r="E385" s="29">
        <f t="shared" si="26"/>
        <v>43.346774193548384</v>
      </c>
      <c r="F385" s="29">
        <f t="shared" si="27"/>
        <v>56.653225806451616</v>
      </c>
      <c r="G385" s="29">
        <f t="shared" si="28"/>
        <v>2.9680544354838707</v>
      </c>
      <c r="H385" s="31">
        <f t="shared" si="24"/>
        <v>0.99199999999999999</v>
      </c>
      <c r="I385" s="33">
        <f t="shared" si="25"/>
        <v>0.40494634259999995</v>
      </c>
      <c r="J385" s="29">
        <f t="shared" si="29"/>
        <v>2.9475495707407999</v>
      </c>
      <c r="K385" s="29">
        <f t="shared" si="30"/>
        <v>0.29475495707408</v>
      </c>
      <c r="L385" s="31"/>
      <c r="M385" s="31"/>
    </row>
    <row r="386" spans="1:13" s="29" customFormat="1" x14ac:dyDescent="0.25">
      <c r="A386" s="31" t="s">
        <v>256</v>
      </c>
      <c r="B386" s="31">
        <v>47</v>
      </c>
      <c r="C386" s="31">
        <v>52.2</v>
      </c>
      <c r="D386" s="31">
        <v>0.8</v>
      </c>
      <c r="E386" s="29">
        <f t="shared" si="26"/>
        <v>47.37903225806452</v>
      </c>
      <c r="F386" s="29">
        <f t="shared" si="27"/>
        <v>52.620967741935488</v>
      </c>
      <c r="G386" s="29">
        <f t="shared" si="28"/>
        <v>2.9743850806451611</v>
      </c>
      <c r="H386" s="31">
        <f t="shared" si="24"/>
        <v>0.99199999999999999</v>
      </c>
      <c r="I386" s="33">
        <f t="shared" si="25"/>
        <v>0.40494634259999995</v>
      </c>
      <c r="J386" s="29">
        <f t="shared" si="29"/>
        <v>2.9538295707407998</v>
      </c>
      <c r="K386" s="29">
        <f t="shared" si="30"/>
        <v>0.29538295707407997</v>
      </c>
      <c r="L386" s="31"/>
      <c r="M386" s="31"/>
    </row>
    <row r="387" spans="1:13" s="29" customFormat="1" x14ac:dyDescent="0.25">
      <c r="A387" s="31" t="s">
        <v>257</v>
      </c>
      <c r="B387" s="31">
        <v>50</v>
      </c>
      <c r="C387" s="31">
        <v>49.2</v>
      </c>
      <c r="D387" s="31">
        <v>0.8</v>
      </c>
      <c r="E387" s="29">
        <f t="shared" si="26"/>
        <v>50.403225806451616</v>
      </c>
      <c r="F387" s="29">
        <f t="shared" si="27"/>
        <v>49.596774193548391</v>
      </c>
      <c r="G387" s="29">
        <f t="shared" si="28"/>
        <v>2.9791330645161289</v>
      </c>
      <c r="H387" s="31">
        <f t="shared" si="24"/>
        <v>0.99199999999999999</v>
      </c>
      <c r="I387" s="33">
        <f t="shared" si="25"/>
        <v>0.40494634259999995</v>
      </c>
      <c r="J387" s="29">
        <f t="shared" si="29"/>
        <v>2.9585395707408</v>
      </c>
      <c r="K387" s="29">
        <f t="shared" si="30"/>
        <v>0.29585395707408002</v>
      </c>
      <c r="L387" s="31"/>
      <c r="M387" s="31"/>
    </row>
    <row r="388" spans="1:13" s="29" customFormat="1" x14ac:dyDescent="0.25">
      <c r="A388" s="31" t="s">
        <v>258</v>
      </c>
      <c r="B388" s="31">
        <v>41</v>
      </c>
      <c r="C388" s="31">
        <v>57</v>
      </c>
      <c r="D388" s="31">
        <v>2</v>
      </c>
      <c r="E388" s="29">
        <f t="shared" si="26"/>
        <v>41.836734693877553</v>
      </c>
      <c r="F388" s="29">
        <f t="shared" si="27"/>
        <v>58.163265306122447</v>
      </c>
      <c r="G388" s="29">
        <f t="shared" si="28"/>
        <v>2.9656836734693877</v>
      </c>
      <c r="H388" s="31">
        <f t="shared" si="24"/>
        <v>0.98</v>
      </c>
      <c r="I388" s="33">
        <f t="shared" si="25"/>
        <v>0.40494634259999995</v>
      </c>
      <c r="J388" s="29">
        <f t="shared" si="29"/>
        <v>2.9144689268519999</v>
      </c>
      <c r="K388" s="29">
        <f t="shared" si="30"/>
        <v>0.29144689268519997</v>
      </c>
      <c r="L388" s="31"/>
      <c r="M388" s="31"/>
    </row>
    <row r="389" spans="1:13" s="29" customFormat="1" x14ac:dyDescent="0.25">
      <c r="A389" s="31" t="s">
        <v>259</v>
      </c>
      <c r="B389" s="31">
        <v>50</v>
      </c>
      <c r="C389" s="31">
        <v>48</v>
      </c>
      <c r="D389" s="31">
        <v>2</v>
      </c>
      <c r="E389" s="29">
        <f t="shared" si="26"/>
        <v>51.020408163265309</v>
      </c>
      <c r="F389" s="29">
        <f t="shared" si="27"/>
        <v>48.979591836734691</v>
      </c>
      <c r="G389" s="29">
        <f t="shared" si="28"/>
        <v>2.9801020408163263</v>
      </c>
      <c r="H389" s="31">
        <f t="shared" si="24"/>
        <v>0.98</v>
      </c>
      <c r="I389" s="33">
        <f t="shared" si="25"/>
        <v>0.40494634259999995</v>
      </c>
      <c r="J389" s="29">
        <f t="shared" si="29"/>
        <v>2.9285989268519996</v>
      </c>
      <c r="K389" s="29">
        <f t="shared" si="30"/>
        <v>0.29285989268519996</v>
      </c>
      <c r="L389" s="31"/>
      <c r="M389" s="31"/>
    </row>
    <row r="390" spans="1:13" s="29" customFormat="1" x14ac:dyDescent="0.25">
      <c r="A390" s="31" t="s">
        <v>246</v>
      </c>
      <c r="B390" s="31">
        <v>45</v>
      </c>
      <c r="C390" s="31">
        <v>54.2</v>
      </c>
      <c r="D390" s="31">
        <v>0.8</v>
      </c>
      <c r="E390" s="29">
        <f t="shared" si="26"/>
        <v>45.362903225806448</v>
      </c>
      <c r="F390" s="29">
        <f t="shared" si="27"/>
        <v>54.637096774193552</v>
      </c>
      <c r="G390" s="29">
        <f t="shared" si="28"/>
        <v>2.9712197580645161</v>
      </c>
      <c r="H390" s="31">
        <f t="shared" si="24"/>
        <v>0.99199999999999999</v>
      </c>
      <c r="I390" s="33">
        <f t="shared" si="25"/>
        <v>0.40494634259999995</v>
      </c>
      <c r="J390" s="29">
        <f t="shared" si="29"/>
        <v>2.9506895707408001</v>
      </c>
      <c r="K390" s="29">
        <f t="shared" si="30"/>
        <v>0.29506895707407998</v>
      </c>
      <c r="L390" s="31"/>
      <c r="M390" s="31"/>
    </row>
    <row r="391" spans="1:13" s="29" customFormat="1" x14ac:dyDescent="0.25">
      <c r="A391" s="31" t="s">
        <v>246</v>
      </c>
      <c r="B391" s="31">
        <v>45</v>
      </c>
      <c r="C391" s="31">
        <v>54.2</v>
      </c>
      <c r="D391" s="31">
        <v>0.8</v>
      </c>
      <c r="E391" s="29">
        <f t="shared" si="26"/>
        <v>45.362903225806448</v>
      </c>
      <c r="F391" s="29">
        <f t="shared" si="27"/>
        <v>54.637096774193552</v>
      </c>
      <c r="G391" s="29">
        <f t="shared" si="28"/>
        <v>2.9712197580645161</v>
      </c>
      <c r="H391" s="31">
        <f t="shared" si="24"/>
        <v>0.99199999999999999</v>
      </c>
      <c r="I391" s="34">
        <f t="shared" si="25"/>
        <v>0.40494634259999995</v>
      </c>
      <c r="J391" s="29">
        <f>H391*G391+D391*I391/100</f>
        <v>2.9506895707408001</v>
      </c>
      <c r="K391" s="29">
        <f t="shared" si="30"/>
        <v>0.29506895707407998</v>
      </c>
      <c r="L391" s="31"/>
      <c r="M391" s="31"/>
    </row>
    <row r="394" spans="1:13" ht="18" x14ac:dyDescent="0.35">
      <c r="A394" t="s">
        <v>227</v>
      </c>
      <c r="B394" t="s">
        <v>124</v>
      </c>
      <c r="C394" t="s">
        <v>74</v>
      </c>
      <c r="D394" t="s">
        <v>233</v>
      </c>
      <c r="E394" t="s">
        <v>230</v>
      </c>
      <c r="F394" t="s">
        <v>231</v>
      </c>
      <c r="G394" t="s">
        <v>328</v>
      </c>
      <c r="H394" t="s">
        <v>236</v>
      </c>
      <c r="I394" t="s">
        <v>237</v>
      </c>
      <c r="J394" t="s">
        <v>202</v>
      </c>
      <c r="K394" t="s">
        <v>4</v>
      </c>
      <c r="L394" t="s">
        <v>6</v>
      </c>
    </row>
    <row r="395" spans="1:13" x14ac:dyDescent="0.25">
      <c r="A395" s="19" t="s">
        <v>226</v>
      </c>
      <c r="B395">
        <v>84</v>
      </c>
      <c r="C395">
        <v>8</v>
      </c>
      <c r="D395">
        <v>8</v>
      </c>
      <c r="E395">
        <f>Table32[[#This Row],[XPd]]/(1-Table32[[#This Row],[XHo ]]/100)</f>
        <v>91.304347826086953</v>
      </c>
      <c r="F395">
        <f>Table32[[#This Row],[XAg]]/(1-Table32[[#This Row],[XHo ]]/100)</f>
        <v>8.695652173913043</v>
      </c>
      <c r="G395">
        <f>0.3887+(1.93*0.0001)*Table32[[#This Row],[XAg/(1-XHo/100)]]</f>
        <v>0.39037826086956523</v>
      </c>
      <c r="H395">
        <f>1-Table32[[#This Row],[XHo ]]/100</f>
        <v>0.92</v>
      </c>
      <c r="I395" s="30">
        <f xml:space="preserve"> 3.5773*2^0.5/10</f>
        <v>0.50590661766772738</v>
      </c>
      <c r="J395">
        <f>Table32[[#This Row],[(1-XHo)]]*Table32[[#This Row],[aPdxAgy(FCC)]]+Table32[[#This Row],[XHo ]]/100*Table32[[#This Row],[aHo]]</f>
        <v>0.39962052941341819</v>
      </c>
      <c r="K395" t="s">
        <v>238</v>
      </c>
    </row>
    <row r="396" spans="1:13" x14ac:dyDescent="0.25">
      <c r="A396" s="19" t="s">
        <v>225</v>
      </c>
      <c r="B396">
        <v>76</v>
      </c>
      <c r="C396">
        <v>16</v>
      </c>
      <c r="D396">
        <v>8</v>
      </c>
      <c r="E396">
        <f>Table32[[#This Row],[XPd]]/(1-Table32[[#This Row],[XHo ]]/100)</f>
        <v>82.608695652173907</v>
      </c>
      <c r="F396">
        <f>Table32[[#This Row],[XAg]]/(1-Table32[[#This Row],[XHo ]]/100)</f>
        <v>17.391304347826086</v>
      </c>
      <c r="G396">
        <f>0.3887+(1.93*0.0001)*Table32[[#This Row],[XAg/(1-XHo/100)]]</f>
        <v>0.39205652173913041</v>
      </c>
      <c r="H396">
        <f>1-Table32[[#This Row],[XHo ]]/100</f>
        <v>0.92</v>
      </c>
      <c r="I396" s="30">
        <f xml:space="preserve"> 3.5773*2^0.5/10</f>
        <v>0.50590661766772738</v>
      </c>
      <c r="J396">
        <f>Table32[[#This Row],[(1-XHo)]]*Table32[[#This Row],[aPdxAgy(FCC)]]+Table32[[#This Row],[XHo ]]/100*Table32[[#This Row],[aHo]]</f>
        <v>0.40116452941341818</v>
      </c>
      <c r="K396" t="s">
        <v>238</v>
      </c>
    </row>
    <row r="399" spans="1:13" ht="15.75" thickBot="1" x14ac:dyDescent="0.3"/>
    <row r="400" spans="1:13" ht="18.75" thickBot="1" x14ac:dyDescent="0.4">
      <c r="A400" s="12" t="s">
        <v>239</v>
      </c>
      <c r="B400" s="12" t="s">
        <v>124</v>
      </c>
      <c r="C400" s="12" t="s">
        <v>164</v>
      </c>
      <c r="D400" s="12" t="s">
        <v>233</v>
      </c>
      <c r="E400" s="12" t="s">
        <v>240</v>
      </c>
      <c r="F400" s="12" t="s">
        <v>242</v>
      </c>
      <c r="G400" s="12" t="s">
        <v>241</v>
      </c>
      <c r="H400" s="12" t="s">
        <v>236</v>
      </c>
      <c r="I400" s="12" t="s">
        <v>237</v>
      </c>
      <c r="J400" s="12" t="s">
        <v>234</v>
      </c>
      <c r="K400" s="21" t="s">
        <v>95</v>
      </c>
      <c r="L400" s="12" t="s">
        <v>4</v>
      </c>
      <c r="M400" s="12" t="s">
        <v>6</v>
      </c>
    </row>
    <row r="401" spans="1:13" x14ac:dyDescent="0.25">
      <c r="A401" s="19" t="s">
        <v>224</v>
      </c>
      <c r="B401">
        <v>84</v>
      </c>
      <c r="C401">
        <v>8</v>
      </c>
      <c r="D401">
        <v>8</v>
      </c>
      <c r="E401">
        <f>B401/(1-D401/100)</f>
        <v>91.304347826086953</v>
      </c>
      <c r="F401">
        <f>C401/(1-D401/100)</f>
        <v>8.695652173913043</v>
      </c>
      <c r="G401">
        <f>(2.75*0.001)*E401+3.62</f>
        <v>3.8710869565217392</v>
      </c>
      <c r="H401">
        <f>1-D401/100</f>
        <v>0.92</v>
      </c>
      <c r="I401" s="30">
        <f xml:space="preserve"> 3.5773*2^0.5/10</f>
        <v>0.50590661766772738</v>
      </c>
      <c r="J401">
        <f>H401*G401+D401*I401/100</f>
        <v>3.6018725294134186</v>
      </c>
      <c r="K401">
        <f>J401/10</f>
        <v>0.36018725294134185</v>
      </c>
      <c r="L401" t="s">
        <v>238</v>
      </c>
    </row>
    <row r="404" spans="1:13" ht="15.75" thickBot="1" x14ac:dyDescent="0.3"/>
    <row r="405" spans="1:13" ht="18.75" thickBot="1" x14ac:dyDescent="0.4">
      <c r="A405" s="12" t="s">
        <v>260</v>
      </c>
      <c r="B405" s="12" t="s">
        <v>124</v>
      </c>
      <c r="C405" s="12" t="s">
        <v>164</v>
      </c>
      <c r="D405" s="12" t="s">
        <v>172</v>
      </c>
      <c r="E405" s="12" t="s">
        <v>263</v>
      </c>
      <c r="F405" s="12" t="s">
        <v>264</v>
      </c>
      <c r="G405" s="12" t="s">
        <v>241</v>
      </c>
      <c r="H405" s="12" t="s">
        <v>261</v>
      </c>
      <c r="I405" s="12" t="s">
        <v>262</v>
      </c>
      <c r="J405" s="12" t="s">
        <v>234</v>
      </c>
      <c r="K405" s="12" t="s">
        <v>95</v>
      </c>
      <c r="L405" s="12" t="s">
        <v>4</v>
      </c>
      <c r="M405" s="12" t="s">
        <v>6</v>
      </c>
    </row>
    <row r="406" spans="1:13" ht="15.75" thickBot="1" x14ac:dyDescent="0.3">
      <c r="A406" s="19" t="s">
        <v>244</v>
      </c>
      <c r="B406">
        <v>45</v>
      </c>
      <c r="C406">
        <v>54.8</v>
      </c>
      <c r="D406">
        <v>0.2</v>
      </c>
      <c r="E406">
        <f>B406/(1-D406/100)</f>
        <v>45.09018036072144</v>
      </c>
      <c r="F406">
        <f>C406/(1-D406/100)</f>
        <v>54.909819639278552</v>
      </c>
      <c r="G406">
        <f>(1.57*0.001)*E406+2.9</f>
        <v>2.9707915831663327</v>
      </c>
      <c r="H406">
        <f>1-D406/100</f>
        <v>0.998</v>
      </c>
      <c r="I406" s="13">
        <f>(((4.5886*1.00202)^2*(4.9367*1.00202))^(1/3))/10</f>
        <v>0.47113145695738901</v>
      </c>
      <c r="J406">
        <f>H406*G406+D406/100*I406</f>
        <v>2.9657922629139151</v>
      </c>
      <c r="K406">
        <f>J406/10</f>
        <v>0.2965792262913915</v>
      </c>
    </row>
    <row r="407" spans="1:13" ht="15.75" thickBot="1" x14ac:dyDescent="0.3">
      <c r="A407" s="19" t="s">
        <v>247</v>
      </c>
      <c r="B407">
        <v>45</v>
      </c>
      <c r="C407">
        <v>54.2</v>
      </c>
      <c r="D407">
        <v>0.8</v>
      </c>
      <c r="E407">
        <f t="shared" ref="E407:E408" si="31">B407/(1-D407/100)</f>
        <v>45.362903225806448</v>
      </c>
      <c r="F407">
        <f t="shared" ref="F407:F408" si="32">C407/(1-D407/100)</f>
        <v>54.637096774193552</v>
      </c>
      <c r="G407">
        <f t="shared" ref="G407:G408" si="33">(1.57*0.001)*E407+2.9</f>
        <v>2.9712197580645161</v>
      </c>
      <c r="H407">
        <f t="shared" ref="H407:H408" si="34">1-D407/100</f>
        <v>0.99199999999999999</v>
      </c>
      <c r="I407" s="13">
        <f t="shared" ref="I407:I408" si="35">(((4.5886*1.00202)^2*(4.9367*1.00202))^(1/3))/10</f>
        <v>0.47113145695738901</v>
      </c>
      <c r="J407">
        <f t="shared" ref="J407:J408" si="36">H407*G407+D407/100*I407</f>
        <v>2.9512190516556589</v>
      </c>
      <c r="K407">
        <f t="shared" ref="K407:K408" si="37">J407/10</f>
        <v>0.29512190516556591</v>
      </c>
    </row>
    <row r="408" spans="1:13" ht="15.75" thickBot="1" x14ac:dyDescent="0.3">
      <c r="A408" s="19" t="s">
        <v>250</v>
      </c>
      <c r="B408">
        <v>45</v>
      </c>
      <c r="C408">
        <v>53</v>
      </c>
      <c r="D408">
        <v>2</v>
      </c>
      <c r="E408">
        <f t="shared" si="31"/>
        <v>45.91836734693878</v>
      </c>
      <c r="F408">
        <f t="shared" si="32"/>
        <v>54.081632653061227</v>
      </c>
      <c r="G408">
        <f t="shared" si="33"/>
        <v>2.9720918367346938</v>
      </c>
      <c r="H408">
        <f t="shared" si="34"/>
        <v>0.98</v>
      </c>
      <c r="I408" s="13">
        <f t="shared" si="35"/>
        <v>0.47113145695738901</v>
      </c>
      <c r="J408">
        <f t="shared" si="36"/>
        <v>2.9220726291391474</v>
      </c>
      <c r="K408">
        <f t="shared" si="37"/>
        <v>0.29220726291391474</v>
      </c>
    </row>
    <row r="413" spans="1:13" ht="18.75" thickBot="1" x14ac:dyDescent="0.4">
      <c r="A413" s="8" t="s">
        <v>268</v>
      </c>
      <c r="B413" s="8" t="s">
        <v>124</v>
      </c>
      <c r="C413" s="8" t="s">
        <v>164</v>
      </c>
      <c r="D413" s="8" t="s">
        <v>265</v>
      </c>
      <c r="E413" s="8" t="s">
        <v>263</v>
      </c>
      <c r="F413" s="8" t="s">
        <v>269</v>
      </c>
      <c r="G413" s="8" t="s">
        <v>241</v>
      </c>
      <c r="H413" s="8" t="s">
        <v>267</v>
      </c>
      <c r="I413" s="8" t="s">
        <v>266</v>
      </c>
      <c r="J413" s="8" t="s">
        <v>234</v>
      </c>
      <c r="K413" s="8" t="s">
        <v>95</v>
      </c>
      <c r="L413" s="8" t="s">
        <v>4</v>
      </c>
      <c r="M413" s="8" t="s">
        <v>6</v>
      </c>
    </row>
    <row r="414" spans="1:13" x14ac:dyDescent="0.25">
      <c r="A414" s="19" t="s">
        <v>245</v>
      </c>
      <c r="B414">
        <v>45</v>
      </c>
      <c r="C414">
        <v>54.8</v>
      </c>
      <c r="D414">
        <v>0.2</v>
      </c>
      <c r="E414">
        <f>B414/(1-D414/100)</f>
        <v>45.09018036072144</v>
      </c>
      <c r="F414">
        <f>C414/(1-D414/100)</f>
        <v>54.909819639278552</v>
      </c>
      <c r="G414">
        <f>(1.57*0.001)*E414+2.9</f>
        <v>2.9707915831663327</v>
      </c>
      <c r="H414">
        <f>1-D414/100</f>
        <v>0.998</v>
      </c>
      <c r="I414">
        <f>(4.5258*4.5186*7.657)^(1/3)</f>
        <v>5.3899652810143213</v>
      </c>
      <c r="J414">
        <f>H414*G414+D414/100*I414</f>
        <v>2.9756299305620288</v>
      </c>
    </row>
    <row r="415" spans="1:13" x14ac:dyDescent="0.25">
      <c r="A415" s="19" t="s">
        <v>248</v>
      </c>
      <c r="B415">
        <v>45</v>
      </c>
      <c r="C415">
        <v>54.2</v>
      </c>
      <c r="D415">
        <v>0.8</v>
      </c>
      <c r="E415">
        <f t="shared" ref="E415" si="38">B415/(1-D415/100)</f>
        <v>45.362903225806448</v>
      </c>
      <c r="F415">
        <f t="shared" ref="F415:F416" si="39">C415/(1-D415/100)</f>
        <v>54.637096774193552</v>
      </c>
      <c r="G415">
        <f>(1.57*0.001)*E415+2.9</f>
        <v>2.9712197580645161</v>
      </c>
      <c r="H415">
        <f>1-D415/100</f>
        <v>0.99199999999999999</v>
      </c>
      <c r="I415">
        <f t="shared" ref="I415" si="40">(4.5258*4.5186*7.657)^(1/3)</f>
        <v>5.3899652810143213</v>
      </c>
      <c r="J415">
        <f>H415*G415+D415/100*I415</f>
        <v>2.9905697222481145</v>
      </c>
    </row>
    <row r="416" spans="1:13" x14ac:dyDescent="0.25">
      <c r="A416" s="19" t="s">
        <v>251</v>
      </c>
      <c r="B416">
        <v>45</v>
      </c>
      <c r="C416">
        <v>53</v>
      </c>
      <c r="D416">
        <v>2</v>
      </c>
      <c r="E416">
        <f>B416/(1-D416/100)</f>
        <v>45.91836734693878</v>
      </c>
      <c r="F416">
        <f t="shared" si="39"/>
        <v>54.081632653061227</v>
      </c>
      <c r="G416">
        <f>(1.57*0.001)*E416+2.9</f>
        <v>2.9720918367346938</v>
      </c>
      <c r="H416">
        <f>1-D416/100</f>
        <v>0.98</v>
      </c>
      <c r="I416">
        <f>(4.5258*4.5186*7.657)^(1/3)</f>
        <v>5.3899652810143213</v>
      </c>
      <c r="J416">
        <f>H416*G416+D416/100*I416</f>
        <v>3.0204493056202861</v>
      </c>
    </row>
    <row r="420" spans="1:14" x14ac:dyDescent="0.25">
      <c r="A420" t="s">
        <v>270</v>
      </c>
      <c r="B420" t="s">
        <v>124</v>
      </c>
      <c r="C420" t="s">
        <v>232</v>
      </c>
      <c r="D420" t="s">
        <v>271</v>
      </c>
      <c r="E420" t="s">
        <v>272</v>
      </c>
      <c r="F420" t="s">
        <v>278</v>
      </c>
      <c r="G420" t="s">
        <v>273</v>
      </c>
      <c r="H420" t="s">
        <v>274</v>
      </c>
      <c r="I420" t="s">
        <v>275</v>
      </c>
      <c r="J420" t="s">
        <v>202</v>
      </c>
    </row>
    <row r="421" spans="1:14" ht="15.75" thickBot="1" x14ac:dyDescent="0.3">
      <c r="A421" s="19" t="s">
        <v>276</v>
      </c>
      <c r="B421">
        <v>74.69</v>
      </c>
      <c r="C421">
        <v>22.31</v>
      </c>
      <c r="D421">
        <v>3</v>
      </c>
      <c r="E421">
        <f>B421/(1-D421/100)</f>
        <v>77</v>
      </c>
      <c r="F421">
        <v>0.29310000000000003</v>
      </c>
      <c r="G421">
        <f>1-D421/100</f>
        <v>0.97</v>
      </c>
      <c r="H421">
        <v>0.3931</v>
      </c>
      <c r="I421" s="13">
        <f>2.8605*1.00202/10</f>
        <v>0.286627821</v>
      </c>
      <c r="J421">
        <f>G421*H421+D421/100*I421</f>
        <v>0.38990583463</v>
      </c>
    </row>
    <row r="422" spans="1:14" ht="15.75" thickBot="1" x14ac:dyDescent="0.3">
      <c r="A422" s="19" t="s">
        <v>277</v>
      </c>
      <c r="B422">
        <v>73.92</v>
      </c>
      <c r="C422">
        <v>22.08</v>
      </c>
      <c r="D422">
        <v>4</v>
      </c>
      <c r="E422">
        <f>B422/(1-D422/100)</f>
        <v>77</v>
      </c>
      <c r="F422">
        <v>0.29310000000000003</v>
      </c>
      <c r="G422">
        <f>1-D422/100</f>
        <v>0.96</v>
      </c>
      <c r="H422">
        <v>0.3931</v>
      </c>
      <c r="I422" s="13">
        <f>2.8605*1.00202/10</f>
        <v>0.286627821</v>
      </c>
      <c r="J422">
        <f>G422*H422+D422/100*I422</f>
        <v>0.38884111284</v>
      </c>
    </row>
    <row r="426" spans="1:14" x14ac:dyDescent="0.25">
      <c r="A426" s="19" t="s">
        <v>279</v>
      </c>
    </row>
    <row r="430" spans="1:14" ht="15.75" thickBot="1" x14ac:dyDescent="0.3"/>
    <row r="431" spans="1:14" ht="18.75" thickBot="1" x14ac:dyDescent="0.4">
      <c r="A431" s="12" t="s">
        <v>294</v>
      </c>
      <c r="B431" s="12" t="s">
        <v>124</v>
      </c>
      <c r="C431" s="12" t="s">
        <v>75</v>
      </c>
      <c r="D431" s="12" t="s">
        <v>72</v>
      </c>
      <c r="E431" s="12" t="s">
        <v>295</v>
      </c>
      <c r="F431" s="12" t="s">
        <v>296</v>
      </c>
      <c r="G431" s="12" t="s">
        <v>297</v>
      </c>
      <c r="H431" s="21" t="s">
        <v>312</v>
      </c>
      <c r="I431" s="21" t="s">
        <v>311</v>
      </c>
      <c r="J431" s="12" t="s">
        <v>310</v>
      </c>
      <c r="K431" s="12" t="s">
        <v>309</v>
      </c>
      <c r="L431" s="12" t="s">
        <v>95</v>
      </c>
      <c r="M431" s="21" t="s">
        <v>4</v>
      </c>
      <c r="N431" s="21" t="s">
        <v>6</v>
      </c>
    </row>
    <row r="432" spans="1:14" ht="15.75" thickBot="1" x14ac:dyDescent="0.3">
      <c r="A432" s="19" t="s">
        <v>280</v>
      </c>
      <c r="B432">
        <v>85.7</v>
      </c>
      <c r="C432">
        <v>9.4</v>
      </c>
      <c r="D432">
        <v>4.9000000000000004</v>
      </c>
      <c r="E432">
        <f>B432/(1-D432/100)</f>
        <v>90.115667718191389</v>
      </c>
      <c r="F432">
        <f>C432/(1-D432/100)</f>
        <v>9.8843322818086232</v>
      </c>
      <c r="G432">
        <f>1-D432/100</f>
        <v>0.95099999999999996</v>
      </c>
      <c r="H432" s="10">
        <v>0.38895999999999997</v>
      </c>
      <c r="I432" s="10">
        <v>0.40781999999999996</v>
      </c>
      <c r="J432">
        <f>(1-F432/100)*H432+F432/100*I432-$F$466*F432/100*(1-F432/100)</f>
        <v>0.39082341587827918</v>
      </c>
      <c r="K432" s="13">
        <f>3.916/10*1.00202</f>
        <v>0.39239103199999997</v>
      </c>
      <c r="L432">
        <f>G432*J432+D432/100*K432</f>
        <v>0.39090022906824351</v>
      </c>
      <c r="M432" t="s">
        <v>307</v>
      </c>
      <c r="N432" t="s">
        <v>308</v>
      </c>
    </row>
    <row r="433" spans="1:14" ht="15.75" thickBot="1" x14ac:dyDescent="0.3">
      <c r="A433" s="19" t="s">
        <v>281</v>
      </c>
      <c r="B433">
        <v>83.6</v>
      </c>
      <c r="C433">
        <v>12.1</v>
      </c>
      <c r="D433">
        <v>4.3</v>
      </c>
      <c r="E433">
        <f t="shared" ref="E433:E445" si="41">B433/(1-D433/100)</f>
        <v>87.356321839080451</v>
      </c>
      <c r="F433">
        <f t="shared" ref="F433:F445" si="42">C433/(1-D433/100)</f>
        <v>12.64367816091954</v>
      </c>
      <c r="G433">
        <f t="shared" ref="G433:G445" si="43">1-D433/100</f>
        <v>0.95699999999999996</v>
      </c>
      <c r="H433" s="10">
        <v>0.38895999999999997</v>
      </c>
      <c r="I433" s="10">
        <v>0.40781999999999996</v>
      </c>
      <c r="J433">
        <f t="shared" ref="J433:J445" si="44">(1-F433/100)*H433+F433/100*I433-$F$466*F433/100*(1-F433/100)</f>
        <v>0.39134364390887699</v>
      </c>
      <c r="K433" s="13">
        <f t="shared" ref="K433:K445" si="45">3.916/10*1.00202</f>
        <v>0.39239103199999997</v>
      </c>
      <c r="L433">
        <f t="shared" ref="L433:L445" si="46">G433*J433+D433/100*K433</f>
        <v>0.3913886815967953</v>
      </c>
      <c r="M433" t="s">
        <v>307</v>
      </c>
      <c r="N433" t="s">
        <v>308</v>
      </c>
    </row>
    <row r="434" spans="1:14" ht="15.75" thickBot="1" x14ac:dyDescent="0.3">
      <c r="A434" s="19" t="s">
        <v>282</v>
      </c>
      <c r="B434">
        <v>85</v>
      </c>
      <c r="C434">
        <v>10.7</v>
      </c>
      <c r="D434">
        <v>4.3</v>
      </c>
      <c r="E434">
        <f t="shared" si="41"/>
        <v>88.819226750261237</v>
      </c>
      <c r="F434">
        <f t="shared" si="42"/>
        <v>11.180773249738767</v>
      </c>
      <c r="G434">
        <f t="shared" si="43"/>
        <v>0.95699999999999996</v>
      </c>
      <c r="H434" s="10">
        <v>0.38895999999999997</v>
      </c>
      <c r="I434" s="10">
        <v>0.40781999999999996</v>
      </c>
      <c r="J434">
        <f>(1-F434/100)*H434+F434/100*I434-$F$466*F434/100*(1-F434/100)</f>
        <v>0.39106783627423031</v>
      </c>
      <c r="K434" s="13">
        <f t="shared" si="45"/>
        <v>0.39239103199999997</v>
      </c>
      <c r="L434">
        <f t="shared" si="46"/>
        <v>0.39112473369043843</v>
      </c>
      <c r="M434" t="s">
        <v>307</v>
      </c>
      <c r="N434" t="s">
        <v>308</v>
      </c>
    </row>
    <row r="435" spans="1:14" ht="15.75" thickBot="1" x14ac:dyDescent="0.3">
      <c r="A435" s="19" t="s">
        <v>293</v>
      </c>
      <c r="B435">
        <v>84.3</v>
      </c>
      <c r="C435">
        <v>8.1</v>
      </c>
      <c r="D435">
        <v>7.6</v>
      </c>
      <c r="E435">
        <f t="shared" si="41"/>
        <v>91.233766233766232</v>
      </c>
      <c r="F435">
        <f t="shared" si="42"/>
        <v>8.7662337662337659</v>
      </c>
      <c r="G435">
        <f t="shared" si="43"/>
        <v>0.92400000000000004</v>
      </c>
      <c r="H435" s="10">
        <v>0.38895999999999997</v>
      </c>
      <c r="I435" s="10">
        <v>0.40781999999999996</v>
      </c>
      <c r="J435">
        <f t="shared" si="44"/>
        <v>0.39061262104361966</v>
      </c>
      <c r="K435" s="13">
        <f t="shared" si="45"/>
        <v>0.39239103199999997</v>
      </c>
      <c r="L435">
        <f t="shared" si="46"/>
        <v>0.39074778027630458</v>
      </c>
      <c r="M435" t="s">
        <v>307</v>
      </c>
      <c r="N435" t="s">
        <v>308</v>
      </c>
    </row>
    <row r="436" spans="1:14" ht="15.75" thickBot="1" x14ac:dyDescent="0.3">
      <c r="A436" s="19" t="s">
        <v>283</v>
      </c>
      <c r="B436">
        <v>81.900000000000006</v>
      </c>
      <c r="C436">
        <v>9.65</v>
      </c>
      <c r="D436">
        <v>8.4499999999999993</v>
      </c>
      <c r="E436">
        <f t="shared" si="41"/>
        <v>89.45931185144731</v>
      </c>
      <c r="F436">
        <f t="shared" si="42"/>
        <v>10.540688148552704</v>
      </c>
      <c r="G436">
        <f t="shared" si="43"/>
        <v>0.91549999999999998</v>
      </c>
      <c r="H436" s="10">
        <v>0.38895999999999997</v>
      </c>
      <c r="I436" s="10">
        <v>0.40781999999999996</v>
      </c>
      <c r="J436">
        <f t="shared" si="44"/>
        <v>0.39094715949211012</v>
      </c>
      <c r="K436" s="13">
        <f t="shared" si="45"/>
        <v>0.39239103199999997</v>
      </c>
      <c r="L436">
        <f t="shared" si="46"/>
        <v>0.39106916671902681</v>
      </c>
      <c r="M436" t="s">
        <v>307</v>
      </c>
      <c r="N436" t="s">
        <v>308</v>
      </c>
    </row>
    <row r="437" spans="1:14" ht="15.75" thickBot="1" x14ac:dyDescent="0.3">
      <c r="A437" s="19" t="s">
        <v>284</v>
      </c>
      <c r="B437">
        <v>79.400000000000006</v>
      </c>
      <c r="C437">
        <v>12.9</v>
      </c>
      <c r="D437">
        <v>7.7</v>
      </c>
      <c r="E437">
        <f t="shared" si="41"/>
        <v>86.023835319609972</v>
      </c>
      <c r="F437">
        <f t="shared" si="42"/>
        <v>13.976164680390033</v>
      </c>
      <c r="G437">
        <f t="shared" si="43"/>
        <v>0.92300000000000004</v>
      </c>
      <c r="H437" s="10">
        <v>0.38895999999999997</v>
      </c>
      <c r="I437" s="10">
        <v>0.40781999999999996</v>
      </c>
      <c r="J437">
        <f t="shared" si="44"/>
        <v>0.39159486643048064</v>
      </c>
      <c r="K437" s="13">
        <f t="shared" si="45"/>
        <v>0.39239103199999997</v>
      </c>
      <c r="L437">
        <f t="shared" si="46"/>
        <v>0.39165617117933366</v>
      </c>
      <c r="M437" t="s">
        <v>307</v>
      </c>
      <c r="N437" t="s">
        <v>308</v>
      </c>
    </row>
    <row r="438" spans="1:14" ht="15.75" thickBot="1" x14ac:dyDescent="0.3">
      <c r="A438" s="19" t="s">
        <v>285</v>
      </c>
      <c r="B438">
        <v>80.2</v>
      </c>
      <c r="C438">
        <v>12.5</v>
      </c>
      <c r="D438">
        <v>7.3</v>
      </c>
      <c r="E438">
        <f t="shared" si="41"/>
        <v>86.515641855447683</v>
      </c>
      <c r="F438">
        <f t="shared" si="42"/>
        <v>13.484358144552319</v>
      </c>
      <c r="G438">
        <f t="shared" si="43"/>
        <v>0.92700000000000005</v>
      </c>
      <c r="H438" s="10">
        <v>0.38895999999999997</v>
      </c>
      <c r="I438" s="10">
        <v>0.40781999999999996</v>
      </c>
      <c r="J438">
        <f t="shared" si="44"/>
        <v>0.39150214252520021</v>
      </c>
      <c r="K438" s="13">
        <f t="shared" si="45"/>
        <v>0.39239103199999997</v>
      </c>
      <c r="L438">
        <f t="shared" si="46"/>
        <v>0.39156703145686061</v>
      </c>
      <c r="M438" t="s">
        <v>307</v>
      </c>
      <c r="N438" t="s">
        <v>308</v>
      </c>
    </row>
    <row r="439" spans="1:14" ht="15.75" thickBot="1" x14ac:dyDescent="0.3">
      <c r="A439" s="19" t="s">
        <v>286</v>
      </c>
      <c r="B439">
        <v>81.400000000000006</v>
      </c>
      <c r="C439">
        <v>10.9</v>
      </c>
      <c r="D439">
        <v>7.7</v>
      </c>
      <c r="E439">
        <f t="shared" si="41"/>
        <v>88.190682556879736</v>
      </c>
      <c r="F439">
        <f t="shared" si="42"/>
        <v>11.809317443120261</v>
      </c>
      <c r="G439">
        <f t="shared" si="43"/>
        <v>0.92300000000000004</v>
      </c>
      <c r="H439" s="10">
        <v>0.38895999999999997</v>
      </c>
      <c r="I439" s="10">
        <v>0.40781999999999996</v>
      </c>
      <c r="J439">
        <f t="shared" si="44"/>
        <v>0.39118633790985508</v>
      </c>
      <c r="K439" s="13">
        <f t="shared" si="45"/>
        <v>0.39239103199999997</v>
      </c>
      <c r="L439">
        <f t="shared" si="46"/>
        <v>0.39127909935479627</v>
      </c>
      <c r="M439" t="s">
        <v>307</v>
      </c>
      <c r="N439" t="s">
        <v>308</v>
      </c>
    </row>
    <row r="440" spans="1:14" ht="15.75" thickBot="1" x14ac:dyDescent="0.3">
      <c r="A440" s="19" t="s">
        <v>287</v>
      </c>
      <c r="B440">
        <v>80.8</v>
      </c>
      <c r="C440">
        <v>8.8000000000000007</v>
      </c>
      <c r="D440">
        <v>10.4</v>
      </c>
      <c r="E440">
        <f t="shared" si="41"/>
        <v>90.178571428571431</v>
      </c>
      <c r="F440">
        <f t="shared" si="42"/>
        <v>9.8214285714285712</v>
      </c>
      <c r="G440">
        <f t="shared" si="43"/>
        <v>0.89600000000000002</v>
      </c>
      <c r="H440" s="10">
        <v>0.38895999999999997</v>
      </c>
      <c r="I440" s="10">
        <v>0.40781999999999996</v>
      </c>
      <c r="J440">
        <f t="shared" si="44"/>
        <v>0.39081155660011002</v>
      </c>
      <c r="K440" s="13">
        <f t="shared" si="45"/>
        <v>0.39239103199999997</v>
      </c>
      <c r="L440">
        <f t="shared" si="46"/>
        <v>0.39097582204169856</v>
      </c>
      <c r="M440" t="s">
        <v>307</v>
      </c>
      <c r="N440" t="s">
        <v>308</v>
      </c>
    </row>
    <row r="441" spans="1:14" ht="15.75" thickBot="1" x14ac:dyDescent="0.3">
      <c r="A441" s="19" t="s">
        <v>288</v>
      </c>
      <c r="B441">
        <v>77.900000000000006</v>
      </c>
      <c r="C441">
        <v>11.55</v>
      </c>
      <c r="D441">
        <v>10.55</v>
      </c>
      <c r="E441">
        <f t="shared" si="41"/>
        <v>87.087758524315277</v>
      </c>
      <c r="F441">
        <f t="shared" si="42"/>
        <v>12.912241475684741</v>
      </c>
      <c r="G441">
        <f t="shared" si="43"/>
        <v>0.89449999999999996</v>
      </c>
      <c r="H441" s="10">
        <v>0.38895999999999997</v>
      </c>
      <c r="I441" s="10">
        <v>0.40781999999999996</v>
      </c>
      <c r="J441">
        <f t="shared" si="44"/>
        <v>0.3913942776851887</v>
      </c>
      <c r="K441" s="13">
        <f t="shared" si="45"/>
        <v>0.39239103199999997</v>
      </c>
      <c r="L441">
        <f t="shared" si="46"/>
        <v>0.39149943526540132</v>
      </c>
      <c r="M441" t="s">
        <v>307</v>
      </c>
      <c r="N441" t="s">
        <v>308</v>
      </c>
    </row>
    <row r="442" spans="1:14" ht="15.75" thickBot="1" x14ac:dyDescent="0.3">
      <c r="A442" s="19" t="s">
        <v>289</v>
      </c>
      <c r="B442">
        <v>81.3</v>
      </c>
      <c r="C442">
        <v>9.1</v>
      </c>
      <c r="D442">
        <v>9.6</v>
      </c>
      <c r="E442">
        <f t="shared" si="41"/>
        <v>89.93362831858407</v>
      </c>
      <c r="F442">
        <f t="shared" si="42"/>
        <v>10.066371681415928</v>
      </c>
      <c r="G442">
        <f t="shared" si="43"/>
        <v>0.90400000000000003</v>
      </c>
      <c r="H442" s="10">
        <v>0.38895999999999997</v>
      </c>
      <c r="I442" s="10">
        <v>0.40781999999999996</v>
      </c>
      <c r="J442">
        <f t="shared" si="44"/>
        <v>0.39085773592532824</v>
      </c>
      <c r="K442" s="13">
        <f t="shared" si="45"/>
        <v>0.39239103199999997</v>
      </c>
      <c r="L442">
        <f t="shared" si="46"/>
        <v>0.39100493234849676</v>
      </c>
      <c r="M442" t="s">
        <v>307</v>
      </c>
      <c r="N442" t="s">
        <v>308</v>
      </c>
    </row>
    <row r="443" spans="1:14" ht="15.75" thickBot="1" x14ac:dyDescent="0.3">
      <c r="A443" s="19" t="s">
        <v>290</v>
      </c>
      <c r="B443">
        <v>83.6</v>
      </c>
      <c r="C443">
        <v>8.6</v>
      </c>
      <c r="D443">
        <v>7.8</v>
      </c>
      <c r="E443">
        <f t="shared" si="41"/>
        <v>90.672451193058563</v>
      </c>
      <c r="F443">
        <f t="shared" si="42"/>
        <v>9.3275488069414312</v>
      </c>
      <c r="G443">
        <f t="shared" si="43"/>
        <v>0.92200000000000004</v>
      </c>
      <c r="H443" s="10">
        <v>0.38895999999999997</v>
      </c>
      <c r="I443" s="10">
        <v>0.40781999999999996</v>
      </c>
      <c r="J443">
        <f t="shared" si="44"/>
        <v>0.39071844535855388</v>
      </c>
      <c r="K443" s="13">
        <f t="shared" si="45"/>
        <v>0.39239103199999997</v>
      </c>
      <c r="L443">
        <f t="shared" si="46"/>
        <v>0.39084890711658671</v>
      </c>
      <c r="M443" t="s">
        <v>307</v>
      </c>
      <c r="N443" t="s">
        <v>308</v>
      </c>
    </row>
    <row r="444" spans="1:14" ht="15.75" thickBot="1" x14ac:dyDescent="0.3">
      <c r="A444" s="19" t="s">
        <v>291</v>
      </c>
      <c r="B444">
        <v>80.7</v>
      </c>
      <c r="C444">
        <v>11.6</v>
      </c>
      <c r="D444">
        <v>7.7</v>
      </c>
      <c r="E444">
        <f t="shared" si="41"/>
        <v>87.432286023835317</v>
      </c>
      <c r="F444">
        <f t="shared" si="42"/>
        <v>12.567713976164679</v>
      </c>
      <c r="G444">
        <f t="shared" si="43"/>
        <v>0.92300000000000004</v>
      </c>
      <c r="H444" s="10">
        <v>0.38895999999999997</v>
      </c>
      <c r="I444" s="10">
        <v>0.40781999999999996</v>
      </c>
      <c r="J444">
        <f t="shared" si="44"/>
        <v>0.39132932196966402</v>
      </c>
      <c r="K444" s="13">
        <f t="shared" si="45"/>
        <v>0.39239103199999997</v>
      </c>
      <c r="L444">
        <f t="shared" si="46"/>
        <v>0.3914110736419999</v>
      </c>
      <c r="M444" t="s">
        <v>307</v>
      </c>
      <c r="N444" t="s">
        <v>308</v>
      </c>
    </row>
    <row r="445" spans="1:14" ht="15.75" thickBot="1" x14ac:dyDescent="0.3">
      <c r="A445" s="19" t="s">
        <v>292</v>
      </c>
      <c r="B445">
        <v>75.8</v>
      </c>
      <c r="C445">
        <v>11.3</v>
      </c>
      <c r="D445">
        <v>12.9</v>
      </c>
      <c r="E445">
        <f t="shared" si="41"/>
        <v>87.0264064293915</v>
      </c>
      <c r="F445">
        <f t="shared" si="42"/>
        <v>12.973593570608497</v>
      </c>
      <c r="G445">
        <f t="shared" si="43"/>
        <v>0.871</v>
      </c>
      <c r="H445" s="10">
        <v>0.38895999999999997</v>
      </c>
      <c r="I445" s="10">
        <v>0.40781999999999996</v>
      </c>
      <c r="J445">
        <f t="shared" si="44"/>
        <v>0.3914058447636915</v>
      </c>
      <c r="K445" s="13">
        <f t="shared" si="45"/>
        <v>0.39239103199999997</v>
      </c>
      <c r="L445">
        <f t="shared" si="46"/>
        <v>0.39153293391717531</v>
      </c>
      <c r="M445" t="s">
        <v>307</v>
      </c>
      <c r="N445" t="s">
        <v>308</v>
      </c>
    </row>
    <row r="450" spans="1:7" ht="18" x14ac:dyDescent="0.35">
      <c r="A450" t="s">
        <v>299</v>
      </c>
      <c r="B450" t="s">
        <v>301</v>
      </c>
      <c r="C450" t="s">
        <v>302</v>
      </c>
      <c r="D450" t="s">
        <v>300</v>
      </c>
      <c r="E450" t="s">
        <v>303</v>
      </c>
      <c r="F450" t="s">
        <v>304</v>
      </c>
      <c r="G450" t="s">
        <v>119</v>
      </c>
    </row>
    <row r="451" spans="1:7" x14ac:dyDescent="0.25">
      <c r="A451">
        <v>100</v>
      </c>
      <c r="B451">
        <v>4.0781999999999998</v>
      </c>
      <c r="C451">
        <f>B451/10</f>
        <v>0.40781999999999996</v>
      </c>
      <c r="D451">
        <v>4.0781999999999998</v>
      </c>
      <c r="E451">
        <f>D451/10</f>
        <v>0.40781999999999996</v>
      </c>
      <c r="F451" t="e">
        <f>(C451-E451)/(A451*(1-A451/100))</f>
        <v>#DIV/0!</v>
      </c>
      <c r="G451">
        <v>0.38895999999999997</v>
      </c>
    </row>
    <row r="452" spans="1:7" x14ac:dyDescent="0.25">
      <c r="A452">
        <v>91.29</v>
      </c>
      <c r="B452">
        <v>4.0617999999999999</v>
      </c>
      <c r="C452">
        <f t="shared" ref="C452:C465" si="47">B452/10</f>
        <v>0.40617999999999999</v>
      </c>
      <c r="D452">
        <v>4.0598999999999998</v>
      </c>
      <c r="E452">
        <f t="shared" ref="E452:E465" si="48">D452/10</f>
        <v>0.40598999999999996</v>
      </c>
      <c r="F452">
        <f>(C452-E452)/(A452*(1-A452/100))</f>
        <v>2.389528632778668E-5</v>
      </c>
      <c r="G452">
        <v>0.38895999999999997</v>
      </c>
    </row>
    <row r="453" spans="1:7" x14ac:dyDescent="0.25">
      <c r="A453">
        <v>75.400000000000006</v>
      </c>
      <c r="B453">
        <v>4.0317999999999996</v>
      </c>
      <c r="C453">
        <f t="shared" si="47"/>
        <v>0.40317999999999998</v>
      </c>
      <c r="D453">
        <v>4.0271999999999997</v>
      </c>
      <c r="E453">
        <f t="shared" si="48"/>
        <v>0.40271999999999997</v>
      </c>
      <c r="F453">
        <f t="shared" ref="F453:F465" si="49">(C453-E453)/(A453*(1-A453/100))</f>
        <v>2.4799982747838949E-5</v>
      </c>
      <c r="G453">
        <v>0.38895999999999997</v>
      </c>
    </row>
    <row r="454" spans="1:7" x14ac:dyDescent="0.25">
      <c r="A454">
        <v>66.8</v>
      </c>
      <c r="B454">
        <v>4.0156000000000001</v>
      </c>
      <c r="C454">
        <f t="shared" si="47"/>
        <v>0.40156000000000003</v>
      </c>
      <c r="D454">
        <v>4.0113000000000003</v>
      </c>
      <c r="E454">
        <f t="shared" si="48"/>
        <v>0.40113000000000004</v>
      </c>
      <c r="F454">
        <f t="shared" si="49"/>
        <v>1.9388932977418017E-5</v>
      </c>
      <c r="G454">
        <v>0.38895999999999997</v>
      </c>
    </row>
    <row r="455" spans="1:7" x14ac:dyDescent="0.25">
      <c r="A455">
        <v>61.76</v>
      </c>
      <c r="B455">
        <v>4.0061</v>
      </c>
      <c r="C455">
        <f t="shared" si="47"/>
        <v>0.40061000000000002</v>
      </c>
      <c r="D455">
        <v>4.0015000000000001</v>
      </c>
      <c r="E455">
        <f t="shared" si="48"/>
        <v>0.40015000000000001</v>
      </c>
      <c r="F455">
        <f t="shared" si="49"/>
        <v>1.9477475231426951E-5</v>
      </c>
      <c r="G455">
        <v>0.38895999999999997</v>
      </c>
    </row>
    <row r="456" spans="1:7" x14ac:dyDescent="0.25">
      <c r="A456">
        <v>55.76</v>
      </c>
      <c r="B456">
        <v>3.9948000000000001</v>
      </c>
      <c r="C456">
        <f t="shared" si="47"/>
        <v>0.39948</v>
      </c>
      <c r="D456">
        <v>3.9910000000000001</v>
      </c>
      <c r="E456">
        <f t="shared" si="48"/>
        <v>0.39910000000000001</v>
      </c>
      <c r="F456">
        <f t="shared" si="49"/>
        <v>1.5404432844455746E-5</v>
      </c>
      <c r="G456">
        <v>0.38895999999999997</v>
      </c>
    </row>
    <row r="457" spans="1:7" x14ac:dyDescent="0.25">
      <c r="A457">
        <v>44.76</v>
      </c>
      <c r="B457">
        <v>3.9740000000000002</v>
      </c>
      <c r="C457">
        <f t="shared" si="47"/>
        <v>0.39740000000000003</v>
      </c>
      <c r="D457">
        <v>3.9714999999999998</v>
      </c>
      <c r="E457">
        <f t="shared" si="48"/>
        <v>0.39715</v>
      </c>
      <c r="F457">
        <f t="shared" si="49"/>
        <v>1.0111050067332636E-5</v>
      </c>
      <c r="G457">
        <v>0.38895999999999997</v>
      </c>
    </row>
    <row r="458" spans="1:7" x14ac:dyDescent="0.25">
      <c r="A458">
        <v>35.07</v>
      </c>
      <c r="B458">
        <v>3.9557000000000002</v>
      </c>
      <c r="C458">
        <f t="shared" si="47"/>
        <v>0.39557000000000003</v>
      </c>
      <c r="D458">
        <v>3.9550999999999998</v>
      </c>
      <c r="E458">
        <f t="shared" si="48"/>
        <v>0.39550999999999997</v>
      </c>
      <c r="F458">
        <f t="shared" si="49"/>
        <v>2.6349360639377777E-6</v>
      </c>
      <c r="G458">
        <v>0.38895999999999997</v>
      </c>
    </row>
    <row r="459" spans="1:7" x14ac:dyDescent="0.25">
      <c r="A459">
        <v>26.47</v>
      </c>
      <c r="B459">
        <v>3.9394999999999998</v>
      </c>
      <c r="C459">
        <f t="shared" si="47"/>
        <v>0.39394999999999997</v>
      </c>
      <c r="D459">
        <v>3.9388999999999998</v>
      </c>
      <c r="E459">
        <f t="shared" si="48"/>
        <v>0.39388999999999996</v>
      </c>
      <c r="F459">
        <f t="shared" si="49"/>
        <v>3.0827105102088579E-6</v>
      </c>
      <c r="G459">
        <v>0.38895999999999997</v>
      </c>
    </row>
    <row r="460" spans="1:7" x14ac:dyDescent="0.25">
      <c r="A460">
        <v>18.8</v>
      </c>
      <c r="B460">
        <v>3.9251</v>
      </c>
      <c r="C460">
        <f t="shared" si="47"/>
        <v>0.39251000000000003</v>
      </c>
      <c r="D460">
        <v>3.9251</v>
      </c>
      <c r="E460">
        <f t="shared" si="48"/>
        <v>0.39251000000000003</v>
      </c>
      <c r="F460">
        <f t="shared" si="49"/>
        <v>0</v>
      </c>
      <c r="G460">
        <v>0.38895999999999997</v>
      </c>
    </row>
    <row r="461" spans="1:7" x14ac:dyDescent="0.25">
      <c r="A461">
        <v>15.26</v>
      </c>
      <c r="B461">
        <v>3.9184000000000001</v>
      </c>
      <c r="C461">
        <f t="shared" si="47"/>
        <v>0.39184000000000002</v>
      </c>
      <c r="D461">
        <v>3.9184000000000001</v>
      </c>
      <c r="E461">
        <f t="shared" si="48"/>
        <v>0.39184000000000002</v>
      </c>
      <c r="F461">
        <f t="shared" si="49"/>
        <v>0</v>
      </c>
      <c r="G461">
        <v>0.38895999999999997</v>
      </c>
    </row>
    <row r="462" spans="1:7" x14ac:dyDescent="0.25">
      <c r="A462">
        <v>11.9</v>
      </c>
      <c r="B462">
        <v>3.9119999999999999</v>
      </c>
      <c r="C462">
        <f t="shared" si="47"/>
        <v>0.39119999999999999</v>
      </c>
      <c r="D462">
        <v>3.9117000000000002</v>
      </c>
      <c r="E462">
        <f t="shared" si="48"/>
        <v>0.39117000000000002</v>
      </c>
      <c r="F462">
        <f t="shared" si="49"/>
        <v>2.8615305372976175E-6</v>
      </c>
      <c r="G462">
        <v>0.38895999999999997</v>
      </c>
    </row>
    <row r="463" spans="1:7" x14ac:dyDescent="0.25">
      <c r="A463">
        <v>8.6999999999999993</v>
      </c>
      <c r="B463">
        <v>3.9060000000000001</v>
      </c>
      <c r="C463">
        <f t="shared" si="47"/>
        <v>0.3906</v>
      </c>
      <c r="D463">
        <v>3.9062999999999999</v>
      </c>
      <c r="E463">
        <f t="shared" si="48"/>
        <v>0.39062999999999998</v>
      </c>
      <c r="F463">
        <f t="shared" si="49"/>
        <v>-3.7768629376407816E-6</v>
      </c>
      <c r="G463">
        <v>0.38895999999999997</v>
      </c>
    </row>
    <row r="464" spans="1:7" x14ac:dyDescent="0.25">
      <c r="A464">
        <v>5.66</v>
      </c>
      <c r="B464">
        <v>3.9003000000000001</v>
      </c>
      <c r="C464">
        <f t="shared" si="47"/>
        <v>0.39002999999999999</v>
      </c>
      <c r="D464">
        <v>3.9005999999999998</v>
      </c>
      <c r="E464">
        <f t="shared" si="48"/>
        <v>0.39005999999999996</v>
      </c>
      <c r="F464">
        <f t="shared" si="49"/>
        <v>-5.61835208489077E-6</v>
      </c>
      <c r="G464">
        <v>0.38895999999999997</v>
      </c>
    </row>
    <row r="465" spans="1:12" x14ac:dyDescent="0.25">
      <c r="B465">
        <v>3.8896000000000002</v>
      </c>
      <c r="C465">
        <f t="shared" si="47"/>
        <v>0.38896000000000003</v>
      </c>
      <c r="D465">
        <v>3.8896000000000002</v>
      </c>
      <c r="E465">
        <f t="shared" si="48"/>
        <v>0.38896000000000003</v>
      </c>
      <c r="F465" t="e">
        <f t="shared" si="49"/>
        <v>#DIV/0!</v>
      </c>
      <c r="G465">
        <v>0.38895999999999997</v>
      </c>
    </row>
    <row r="466" spans="1:12" x14ac:dyDescent="0.25">
      <c r="E466" t="s">
        <v>305</v>
      </c>
      <c r="F466">
        <f>AVERAGE(F452:F464)</f>
        <v>8.6354709450132075E-6</v>
      </c>
    </row>
    <row r="469" spans="1:12" ht="18" x14ac:dyDescent="0.35">
      <c r="A469" t="s">
        <v>58</v>
      </c>
      <c r="B469" t="s">
        <v>125</v>
      </c>
      <c r="C469" t="s">
        <v>314</v>
      </c>
      <c r="D469" t="s">
        <v>313</v>
      </c>
      <c r="E469" t="s">
        <v>126</v>
      </c>
      <c r="F469" t="s">
        <v>119</v>
      </c>
      <c r="G469" t="s">
        <v>316</v>
      </c>
      <c r="H469" t="s">
        <v>317</v>
      </c>
      <c r="I469" t="s">
        <v>128</v>
      </c>
      <c r="J469" t="s">
        <v>202</v>
      </c>
      <c r="K469" t="s">
        <v>4</v>
      </c>
      <c r="L469" t="s">
        <v>6</v>
      </c>
    </row>
    <row r="470" spans="1:12" ht="18.75" thickBot="1" x14ac:dyDescent="0.4">
      <c r="A470" t="s">
        <v>315</v>
      </c>
      <c r="B470">
        <v>83.3</v>
      </c>
      <c r="C470">
        <v>0.2</v>
      </c>
      <c r="D470">
        <v>1.5</v>
      </c>
      <c r="E470">
        <v>15</v>
      </c>
      <c r="F470">
        <v>0.38900000000000001</v>
      </c>
      <c r="G470">
        <f>3.6474/10*1.00202*2^0.5</f>
        <v>0.51686221165453738</v>
      </c>
      <c r="H470" s="13">
        <f t="shared" ref="H470" si="50">(((4.5886*1.00202)^2*(4.9367*1.00202))^(1/3))/10</f>
        <v>0.47113145695738901</v>
      </c>
      <c r="I470" s="13">
        <f>4.0779/10*1.00202</f>
        <v>0.40861373579999993</v>
      </c>
      <c r="J470">
        <f>B470/100*F470+C470/100*G470+D470/100*H470+E470/100*I470</f>
        <v>0.39342975664766988</v>
      </c>
      <c r="K470" t="s">
        <v>321</v>
      </c>
      <c r="L470" t="s">
        <v>322</v>
      </c>
    </row>
    <row r="472" spans="1:12" ht="15.75" thickBot="1" x14ac:dyDescent="0.3"/>
    <row r="473" spans="1:12" ht="18.75" thickBot="1" x14ac:dyDescent="0.4">
      <c r="A473" s="12" t="s">
        <v>327</v>
      </c>
      <c r="B473" t="s">
        <v>124</v>
      </c>
      <c r="C473" t="s">
        <v>74</v>
      </c>
      <c r="D473" t="s">
        <v>164</v>
      </c>
      <c r="E473" s="12" t="s">
        <v>329</v>
      </c>
      <c r="F473" s="12" t="s">
        <v>330</v>
      </c>
      <c r="G473" s="12" t="s">
        <v>328</v>
      </c>
      <c r="H473" s="12" t="s">
        <v>331</v>
      </c>
      <c r="I473" s="12" t="s">
        <v>332</v>
      </c>
      <c r="J473" s="12" t="s">
        <v>202</v>
      </c>
      <c r="K473" s="12" t="s">
        <v>4</v>
      </c>
      <c r="L473" s="12" t="s">
        <v>6</v>
      </c>
    </row>
    <row r="474" spans="1:12" x14ac:dyDescent="0.25">
      <c r="A474" t="s">
        <v>333</v>
      </c>
      <c r="B474">
        <v>58</v>
      </c>
      <c r="C474">
        <v>13</v>
      </c>
      <c r="D474">
        <v>29</v>
      </c>
      <c r="E474">
        <f>Table40[[#This Row],[XPd]]/(1-Table40[[#This Row],[XCu]]/100)</f>
        <v>81.690140845070431</v>
      </c>
      <c r="F474">
        <f>Table40[[#This Row],[XAg]]/(1-Table40[[#This Row],[XCu]]/100)</f>
        <v>18.30985915492958</v>
      </c>
      <c r="G474">
        <f>0.3887+(1.93*0.0001)*Table40[[#This Row],[XAg/(1-XCu/100)]]</f>
        <v>0.3922338028169014</v>
      </c>
      <c r="H474">
        <f>1-Table40[[#This Row],[XCu]]/100</f>
        <v>0.71</v>
      </c>
      <c r="I474" s="10">
        <f>3.6074*1.00202/10</f>
        <v>0.36146869479999999</v>
      </c>
      <c r="J474">
        <f>Table40[[#This Row],[aPdxAgy(FCC)]]-Table40[[#This Row],[XCu]]/100*(Table40[[#This Row],[aPdxAgy(FCC)]]-Table40[[#This Row],[aCu]])</f>
        <v>0.383311921492</v>
      </c>
      <c r="K474" t="s">
        <v>335</v>
      </c>
      <c r="L474" t="s">
        <v>336</v>
      </c>
    </row>
    <row r="475" spans="1:12" x14ac:dyDescent="0.25">
      <c r="A475" t="s">
        <v>334</v>
      </c>
      <c r="B475">
        <v>65</v>
      </c>
      <c r="C475">
        <v>14</v>
      </c>
      <c r="D475">
        <v>21</v>
      </c>
      <c r="E475">
        <f>Table40[[#This Row],[XPd]]/(1-Table40[[#This Row],[XCu]]/100)</f>
        <v>82.278481012658219</v>
      </c>
      <c r="F475">
        <f>Table40[[#This Row],[XAg]]/(1-Table40[[#This Row],[XCu]]/100)</f>
        <v>17.721518987341771</v>
      </c>
      <c r="G475">
        <f>0.3887+(1.93*0.0001)*Table40[[#This Row],[XAg/(1-XCu/100)]]</f>
        <v>0.39212025316455695</v>
      </c>
      <c r="H475">
        <f>1-Table40[[#This Row],[XCu]]/100</f>
        <v>0.79</v>
      </c>
      <c r="I475" s="10">
        <f>3.6074*1.00202/10</f>
        <v>0.36146869479999999</v>
      </c>
      <c r="J475">
        <f>Table40[[#This Row],[aPdxAgy(FCC)]]-Table40[[#This Row],[XCu]]/100*(Table40[[#This Row],[aPdxAgy(FCC)]]-Table40[[#This Row],[aCu]])</f>
        <v>0.38568342590799998</v>
      </c>
      <c r="K475" t="s">
        <v>335</v>
      </c>
      <c r="L475" t="s">
        <v>336</v>
      </c>
    </row>
    <row r="478" spans="1:12" x14ac:dyDescent="0.25">
      <c r="A478" t="s">
        <v>58</v>
      </c>
      <c r="B478" t="s">
        <v>324</v>
      </c>
      <c r="C478" t="s">
        <v>124</v>
      </c>
      <c r="D478" t="s">
        <v>197</v>
      </c>
      <c r="E478" t="s">
        <v>202</v>
      </c>
    </row>
    <row r="479" spans="1:12" x14ac:dyDescent="0.25">
      <c r="A479" t="s">
        <v>323</v>
      </c>
      <c r="B479" t="s">
        <v>325</v>
      </c>
      <c r="C479">
        <v>48.3</v>
      </c>
      <c r="D479">
        <v>51.7</v>
      </c>
    </row>
  </sheetData>
  <mergeCells count="1">
    <mergeCell ref="A1:D1"/>
  </mergeCells>
  <phoneticPr fontId="3" type="noConversion"/>
  <hyperlinks>
    <hyperlink ref="D34" r:id="rId1" xr:uid="{4906AB0E-925B-47ED-8E7F-1E96933CF1CF}"/>
    <hyperlink ref="D39" r:id="rId2" xr:uid="{3DD8ABA4-19F4-4245-9E72-0E9ECAADA1E5}"/>
    <hyperlink ref="D40:D46" r:id="rId3" display="https://doi.org/10.1016/S0925-8388(01)01202-6" xr:uid="{7BDC6E49-E538-4F97-A0E0-B784F5EF2B52}"/>
    <hyperlink ref="D35:D38" r:id="rId4" display="https://pubs.acs.org/doi/pdf/10.1021/j100788a024?casa_token=lIUV1BS13EIAAAAA:fzARNlPrXhhAtQvC834gXndxaaZwarjyiZA5ew_-LD_8Cplh7-MbYq-GhvjE26xXKbsU4IAIPYLSW9JUSw" xr:uid="{C61D7F47-9155-4C48-A42E-645D6A185822}"/>
    <hyperlink ref="D46" r:id="rId5" xr:uid="{62A6A0D7-7F81-46AD-A5C7-2B2180CD5306}"/>
    <hyperlink ref="D47:D48" r:id="rId6" display="https://doi.org/10.1016/S0925-8388(01)01202-6" xr:uid="{F8BF6601-7AAE-4F8C-9BB5-C2E6FC1B67A2}"/>
    <hyperlink ref="D67" r:id="rId7" xr:uid="{B90931AC-E359-4F7C-BDC8-543966277F82}"/>
    <hyperlink ref="D68:D71" r:id="rId8" display="https://doi.org/10.1524/zpch.1988.158.Part_2.223" xr:uid="{BCE864FA-48EB-4CB4-BEC9-7377BE7824DB}"/>
    <hyperlink ref="D77" r:id="rId9" xr:uid="{3A59739A-E7B3-4442-B0D1-41D4376A6C31}"/>
    <hyperlink ref="D78:D79" r:id="rId10" display="https://doi.org/10.1103/PhysRevB.95.024116" xr:uid="{63014E1D-57D4-4753-A2F1-23620C849AB1}"/>
    <hyperlink ref="D72" r:id="rId11" tooltip="Persistent link using digital object identifier" xr:uid="{FA000622-1E98-42F2-8CF7-E4D4A45CAA45}"/>
    <hyperlink ref="D73:D76" r:id="rId12" tooltip="Persistent link using digital object identifier" display="https://doi.org/10.1016/0022-3115(89)90424-8" xr:uid="{7DCE6C5F-923E-47E5-B78E-1FD8A8473A30}"/>
    <hyperlink ref="E98" r:id="rId13" xr:uid="{5323E631-E8C2-4757-A8B2-74C1C175ADFE}"/>
    <hyperlink ref="E99:E103" r:id="rId14" display="https://doi.org/10.1524/zpch.1989.162.Part_1.083" xr:uid="{AABC61B7-C092-4494-8802-46E973162AF5}"/>
    <hyperlink ref="D109" r:id="rId15" xr:uid="{C74279F4-4216-447B-B0C7-63A51ED9B9B4}"/>
    <hyperlink ref="D110:D114" r:id="rId16" display="https://doi.org/10.1524/zpch.1988.158.Part_2.223" xr:uid="{8F9C0AD7-73C0-410D-814E-B3E4AC4276D2}"/>
    <hyperlink ref="D118" r:id="rId17" xr:uid="{4EA1B99B-75A9-4B08-88A7-8A86368DC578}"/>
    <hyperlink ref="D119:D121" r:id="rId18" display="https://doi.org/10.1524/zpch.1988.158.Part_2.223" xr:uid="{BB9AEF94-8156-4014-87BD-D6BBF8E00C07}"/>
    <hyperlink ref="D131" r:id="rId19" xr:uid="{9A8B50C1-C14A-4156-A149-0B9C37854281}"/>
    <hyperlink ref="D132:D135" r:id="rId20" display="https://doi.org/10.1524/zpch.1988.158.Part_2.223" xr:uid="{5117BA0C-533F-4A62-B361-DBF1DF49461E}"/>
    <hyperlink ref="D140" r:id="rId21" xr:uid="{E1291FA6-699D-4FF6-B3A1-218E17CC8F1B}"/>
    <hyperlink ref="D141:D144" r:id="rId22" display="https://doi.org/10.1016/0022-5088(90)90147-C" xr:uid="{E0F208E9-2E6D-4E8F-B2A5-172E2B821612}"/>
    <hyperlink ref="D153" r:id="rId23" xr:uid="{B4F25270-0254-4348-A6BB-4CF465FB6B71}"/>
    <hyperlink ref="D154:D160" r:id="rId24" display="https://doi.org/10.1016/0022-5088(89)90077-5" xr:uid="{ADD9FF20-4C81-4F8B-8375-B77CC7946BA0}"/>
    <hyperlink ref="D167" r:id="rId25" xr:uid="{CB8ECB81-2D7C-4C58-9F74-688B4A027872}"/>
    <hyperlink ref="D168:D172" r:id="rId26" display=" https://doi.org/10.1002/bbpc.19900940218" xr:uid="{4167AA86-CB60-4DB0-8CC8-733DBE9F5A2D}"/>
    <hyperlink ref="D176" r:id="rId27" xr:uid="{B3113AB6-6127-492A-AEED-47D125D3D656}"/>
    <hyperlink ref="D177:D184" r:id="rId28" display="https://doi.org/10.1016/0022-5088(68)90187-2" xr:uid="{98025AAB-0508-458F-BA62-DBAE7916E56C}"/>
    <hyperlink ref="D191" r:id="rId29" xr:uid="{97E135D4-59BB-40F3-9114-D031A16615C3}"/>
    <hyperlink ref="D192:D195" r:id="rId30" display="https://doi.org/10.1524/zpch.1993.179.Part_1_2.069" xr:uid="{4CAE1F86-DBE6-4E8C-AEEA-E434149342D2}"/>
    <hyperlink ref="D200" r:id="rId31" xr:uid="{F189487B-6E33-461A-BA70-33E63054F5BC}"/>
    <hyperlink ref="D201:D204" r:id="rId32" display="https://doi.org/10.1016/0022-5088(89)90226-9" xr:uid="{0634E2E6-7AD1-4C65-BE55-537AFD14A1AE}"/>
    <hyperlink ref="D208" r:id="rId33" xr:uid="{4932DC6D-D630-4C67-8BF4-3D34C0B29AE6}"/>
    <hyperlink ref="D209:D212" r:id="rId34" display="https://doi.org/10.1016/0925-8388(94)90776-5" xr:uid="{21ABDE2A-6744-42D0-B572-BC5BE87A9DE0}"/>
    <hyperlink ref="H220" r:id="rId35" xr:uid="{FC6C4BF1-D390-4DF4-B795-E94EFDB295E6}"/>
    <hyperlink ref="H221" r:id="rId36" xr:uid="{95740CE7-6DF0-419B-8417-08CC88B7D1D7}"/>
    <hyperlink ref="K249" r:id="rId37" xr:uid="{E9B3C6B6-A172-43F0-A2D0-179CEF7024D4}"/>
    <hyperlink ref="K250:K254" r:id="rId38" display="https://doi.org/10.1021/jp1039628" xr:uid="{57E005B8-7EE6-489F-B233-EEFAFA51A62D}"/>
  </hyperlinks>
  <pageMargins left="0.7" right="0.7" top="0.75" bottom="0.75" header="0.3" footer="0.3"/>
  <drawing r:id="rId39"/>
  <tableParts count="40"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KOLOR</dc:creator>
  <cp:lastModifiedBy>Eric KOLOR</cp:lastModifiedBy>
  <dcterms:created xsi:type="dcterms:W3CDTF">2025-03-05T17:29:03Z</dcterms:created>
  <dcterms:modified xsi:type="dcterms:W3CDTF">2025-07-08T14:00:12Z</dcterms:modified>
</cp:coreProperties>
</file>